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UI-E2E" sheetId="4" state="visible" r:id="rId4"/>
    <sheet xmlns:r="http://schemas.openxmlformats.org/officeDocument/2006/relationships" name="UI-Functional" sheetId="5" state="visible" r:id="rId5"/>
    <sheet xmlns:r="http://schemas.openxmlformats.org/officeDocument/2006/relationships" name="API" sheetId="6" state="visible" r:id="rId6"/>
    <sheet xmlns:r="http://schemas.openxmlformats.org/officeDocument/2006/relationships" name="Unit-Integration" sheetId="7" state="visible" r:id="rId7"/>
    <sheet xmlns:r="http://schemas.openxmlformats.org/officeDocument/2006/relationships" name="Desktop" sheetId="8" state="visible" r:id="rId8"/>
    <sheet xmlns:r="http://schemas.openxmlformats.org/officeDocument/2006/relationships" name="Traceability" sheetId="9" state="visible" r:id="rId9"/>
    <sheet xmlns:r="http://schemas.openxmlformats.org/officeDocument/2006/relationships" name="DefectLog" sheetId="10" state="visible" r:id="rId10"/>
  </sheets>
  <definedNames>
    <definedName name="_xlnm._FilterDatabase" localSheetId="2" hidden="1">'TestCases'!$A$1:$G$29</definedName>
    <definedName name="_xlnm._FilterDatabase" localSheetId="3" hidden="1">'UI-E2E'!$A$1:$AA$7</definedName>
    <definedName name="_xlnm._FilterDatabase" localSheetId="4" hidden="1">'UI-Functional'!$A$1:$AA$4</definedName>
    <definedName name="_xlnm._FilterDatabase" localSheetId="5" hidden="1">'API'!$A$1:$AA$16</definedName>
    <definedName name="_xlnm._FilterDatabase" localSheetId="6" hidden="1">'Unit-Integration'!$A$1:$AA$5</definedName>
    <definedName name="_xlnm._FilterDatabase" localSheetId="7" hidden="1">'Desktop'!$A$1:$AA$29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2C3E50"/>
      <sz val="18"/>
    </font>
    <font>
      <b val="1"/>
      <color rgb="00FFFFFF"/>
      <sz val="11"/>
    </font>
    <font>
      <b val="1"/>
    </font>
    <font>
      <i val="1"/>
      <color rgb="00566573"/>
      <sz val="11"/>
    </font>
    <font>
      <b val="1"/>
      <color rgb="002C3E50"/>
      <sz val="11"/>
    </font>
    <font>
      <b val="1"/>
      <color rgb="001A1A1A"/>
      <sz val="12"/>
    </font>
    <font>
      <i val="1"/>
      <color rgb="00566573"/>
      <sz val="10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AECE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6" fillId="3" borderId="1" pivotButton="0" quotePrefix="0" xfId="0"/>
    <xf numFmtId="0" fontId="7" fillId="3" borderId="1" applyAlignment="1" pivotButton="0" quotePrefix="0" xfId="0">
      <alignment horizontal="center" vertical="center"/>
    </xf>
    <xf numFmtId="0" fontId="6" fillId="4" borderId="1" pivotButton="0" quotePrefix="0" xfId="0"/>
    <xf numFmtId="0" fontId="7" fillId="4" borderId="1" applyAlignment="1" pivotButton="0" quotePrefix="0" xfId="0">
      <alignment horizontal="center" vertical="center"/>
    </xf>
    <xf numFmtId="0" fontId="6" fillId="5" borderId="1" pivotButton="0" quotePrefix="0" xfId="0"/>
    <xf numFmtId="0" fontId="7" fillId="5" borderId="1" applyAlignment="1" pivotButton="0" quotePrefix="0" xfId="0">
      <alignment horizontal="center" vertical="center"/>
    </xf>
    <xf numFmtId="0" fontId="6" fillId="6" borderId="1" pivotButton="0" quotePrefix="0" xfId="0"/>
    <xf numFmtId="0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8" fillId="0" borderId="0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 ht="30" customHeight="1">
      <c r="A1" s="1" t="inlineStr">
        <is>
          <t>—</t>
        </is>
      </c>
    </row>
    <row r="2" ht="24" customHeight="1">
      <c r="A2" s="2" t="inlineStr">
        <is>
          <t>Field</t>
        </is>
      </c>
      <c r="B2" s="2" t="inlineStr">
        <is>
          <t>Value</t>
        </is>
      </c>
    </row>
    <row r="3" ht="19" customHeight="1">
      <c r="A3" s="3" t="inlineStr">
        <is>
          <t>System</t>
        </is>
      </c>
      <c r="B3" s="4" t="inlineStr">
        <is>
          <t>SVM — Security Vulnerability Management</t>
        </is>
      </c>
    </row>
    <row r="4" ht="19" customHeight="1">
      <c r="A4" s="3" t="inlineStr">
        <is>
          <t>Company</t>
        </is>
      </c>
      <c r="B4" s="4" t="inlineStr">
        <is>
          <t>N/A</t>
        </is>
      </c>
    </row>
    <row r="5" ht="19" customHeight="1">
      <c r="A5" s="3" t="inlineStr">
        <is>
          <t>Version</t>
        </is>
      </c>
      <c r="B5" s="4" t="inlineStr">
        <is>
          <t>1.0</t>
        </is>
      </c>
    </row>
    <row r="6" ht="19" customHeight="1">
      <c r="A6" s="3" t="inlineStr">
        <is>
          <t>Author (Prepared By)</t>
        </is>
      </c>
      <c r="B6" s="4" t="inlineStr">
        <is>
          <t>N/A</t>
        </is>
      </c>
    </row>
    <row r="7" ht="19" customHeight="1">
      <c r="A7" s="3" t="inlineStr">
        <is>
          <t>Created Date</t>
        </is>
      </c>
      <c r="B7" s="4" t="inlineStr">
        <is>
          <t>2026-10-21</t>
        </is>
      </c>
    </row>
    <row r="8" ht="19" customHeight="1">
      <c r="A8" s="3" t="inlineStr">
        <is>
          <t>Updated Date</t>
        </is>
      </c>
      <c r="B8" s="4" t="inlineStr">
        <is>
          <t>2026-10-21</t>
        </is>
      </c>
    </row>
    <row r="9" ht="19" customHeight="1">
      <c r="A9" s="3" t="inlineStr">
        <is>
          <t>Executed Date</t>
        </is>
      </c>
      <c r="B9" s="4" t="inlineStr">
        <is>
          <t>2026-10-21</t>
        </is>
      </c>
    </row>
    <row r="10" ht="19" customHeight="1">
      <c r="A10" s="3" t="inlineStr">
        <is>
          <t>Environment</t>
        </is>
      </c>
      <c r="B10" s="4" t="inlineStr">
        <is>
          <t>local (dev)</t>
        </is>
      </c>
    </row>
    <row r="11" ht="19" customHeight="1">
      <c r="A11" s="3" t="inlineStr">
        <is>
          <t>OS</t>
        </is>
      </c>
      <c r="B11" s="4" t="inlineStr">
        <is>
          <t>Windows-11-10.0.26200-SP0</t>
        </is>
      </c>
    </row>
    <row r="12" ht="19" customHeight="1">
      <c r="A12" s="3" t="inlineStr">
        <is>
          <t>Node</t>
        </is>
      </c>
      <c r="B12" s="4" t="inlineStr">
        <is>
          <t>v24.15.0</t>
        </is>
      </c>
    </row>
    <row r="13" ht="19" customHeight="1">
      <c r="A13" s="3" t="inlineStr">
        <is>
          <t>Browser</t>
        </is>
      </c>
      <c r="B13" s="4" t="inlineStr">
        <is>
          <t>Chromium</t>
        </is>
      </c>
    </row>
    <row r="14" ht="19" customHeight="1">
      <c r="A14" s="3" t="inlineStr">
        <is>
          <t>Tool</t>
        </is>
      </c>
      <c r="B14" s="4" t="inlineStr">
        <is>
          <t>N/A</t>
        </is>
      </c>
    </row>
    <row r="15" ht="19" customHeight="1">
      <c r="A15" s="3" t="inlineStr">
        <is>
          <t>App URL</t>
        </is>
      </c>
      <c r="B15" s="4" t="inlineStr">
        <is>
          <t>http://localhost:4200</t>
        </is>
      </c>
    </row>
    <row r="16" ht="19" customHeight="1">
      <c r="A16" s="3" t="inlineStr">
        <is>
          <t>API Base</t>
        </is>
      </c>
      <c r="B16" s="4" t="inlineStr">
        <is>
          <t>http://127.0.0.1:5181/api/v1</t>
        </is>
      </c>
    </row>
    <row r="17" ht="19" customHeight="1">
      <c r="A17" s="3" t="inlineStr">
        <is>
          <t>Scope</t>
        </is>
      </c>
      <c r="B17" s="4" t="inlineStr">
        <is>
          <t>N/A</t>
        </is>
      </c>
    </row>
    <row r="18" ht="34" customHeight="1">
      <c r="A18" s="3" t="inlineStr">
        <is>
          <t>Devices / Viewports Tested</t>
        </is>
      </c>
      <c r="B18" s="4" t="inlineStr">
        <is>
          <t>desktop (1440×900)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085"/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—</t>
        </is>
      </c>
    </row>
    <row r="2">
      <c r="A2" s="5" t="inlineStr">
        <is>
          <t>สรุปผลการทดสอบ</t>
        </is>
      </c>
    </row>
    <row r="4">
      <c r="A4" s="6" t="inlineStr">
        <is>
          <t>Passed</t>
        </is>
      </c>
      <c r="B4" s="7">
        <f>COUNTIF(TestCases!G2:G1000,"Pass")</f>
        <v/>
      </c>
    </row>
    <row r="5">
      <c r="A5" s="8" t="inlineStr">
        <is>
          <t>Failed</t>
        </is>
      </c>
      <c r="B5" s="9">
        <f>COUNTIF(TestCases!G2:G1000,"Fail")</f>
        <v/>
      </c>
    </row>
    <row r="6">
      <c r="A6" s="10" t="inlineStr">
        <is>
          <t>Blocked</t>
        </is>
      </c>
      <c r="B6" s="11">
        <f>COUNTIF(TestCases!G2:G1000,"Blocked")</f>
        <v/>
      </c>
    </row>
    <row r="7">
      <c r="A7" s="12" t="inlineStr">
        <is>
          <t>Skipped</t>
        </is>
      </c>
      <c r="B7" s="13">
        <f>COUNTIF(TestCases!G2:G1000,"Skipped")</f>
        <v/>
      </c>
    </row>
    <row r="8">
      <c r="A8" s="12" t="inlineStr">
        <is>
          <t>Not Run</t>
        </is>
      </c>
      <c r="B8" s="13">
        <f>COUNTIF(TestCases!G2:G1000,"Not Run")</f>
        <v/>
      </c>
    </row>
    <row r="9">
      <c r="A9" s="12" t="inlineStr">
        <is>
          <t>Total</t>
        </is>
      </c>
      <c r="B9" s="13">
        <f>COUNTA(TestCases!A2:A1000)</f>
        <v/>
      </c>
    </row>
    <row r="10">
      <c r="A10" s="12" t="inlineStr">
        <is>
          <t>Pass Rate</t>
        </is>
      </c>
      <c r="B10" s="14">
        <f>IF(B9=0,0,B4/B9)</f>
        <v/>
      </c>
    </row>
    <row r="12">
      <c r="A12" s="15" t="inlineStr">
        <is>
          <t>By QA Layer</t>
        </is>
      </c>
      <c r="B12" s="16" t="n"/>
      <c r="C12" s="16" t="n"/>
      <c r="D12" s="16" t="n"/>
      <c r="E12" s="16" t="n"/>
    </row>
    <row r="13">
      <c r="A13" s="2" t="inlineStr">
        <is>
          <t>Layer</t>
        </is>
      </c>
      <c r="B13" s="2" t="inlineStr">
        <is>
          <t>Total</t>
        </is>
      </c>
      <c r="C13" s="2" t="inlineStr">
        <is>
          <t>Pass</t>
        </is>
      </c>
      <c r="D13" s="2" t="inlineStr">
        <is>
          <t>Fail</t>
        </is>
      </c>
      <c r="E13" s="2" t="inlineStr">
        <is>
          <t>Pass Rate</t>
        </is>
      </c>
    </row>
    <row r="14">
      <c r="A14" s="17" t="inlineStr">
        <is>
          <t>UI</t>
        </is>
      </c>
      <c r="B14" s="17" t="n">
        <v>9</v>
      </c>
      <c r="C14" s="17" t="n">
        <v>0</v>
      </c>
      <c r="D14" s="17" t="n">
        <v>0</v>
      </c>
      <c r="E14" s="18" t="n">
        <v>0</v>
      </c>
    </row>
    <row r="15">
      <c r="A15" s="17" t="inlineStr">
        <is>
          <t>API</t>
        </is>
      </c>
      <c r="B15" s="17" t="n">
        <v>15</v>
      </c>
      <c r="C15" s="17" t="n">
        <v>0</v>
      </c>
      <c r="D15" s="17" t="n">
        <v>0</v>
      </c>
      <c r="E15" s="18" t="n">
        <v>0</v>
      </c>
    </row>
    <row r="16">
      <c r="A16" s="17" t="inlineStr">
        <is>
          <t>Unit-Integration</t>
        </is>
      </c>
      <c r="B16" s="17" t="n">
        <v>4</v>
      </c>
      <c r="C16" s="17" t="n">
        <v>0</v>
      </c>
      <c r="D16" s="17" t="n">
        <v>0</v>
      </c>
      <c r="E16" s="18" t="n">
        <v>0</v>
      </c>
    </row>
    <row r="18">
      <c r="A18" s="15" t="inlineStr">
        <is>
          <t>By Device</t>
        </is>
      </c>
      <c r="B18" s="16" t="n"/>
      <c r="C18" s="16" t="n"/>
      <c r="D18" s="16" t="n"/>
      <c r="E18" s="16" t="n"/>
    </row>
    <row r="19">
      <c r="A19" s="2" t="inlineStr">
        <is>
          <t>Device</t>
        </is>
      </c>
      <c r="B19" s="2" t="inlineStr">
        <is>
          <t>Total</t>
        </is>
      </c>
      <c r="C19" s="2" t="inlineStr">
        <is>
          <t>Pass</t>
        </is>
      </c>
      <c r="D19" s="2" t="inlineStr">
        <is>
          <t>Fail</t>
        </is>
      </c>
      <c r="E19" s="2" t="inlineStr">
        <is>
          <t>Pass Rate</t>
        </is>
      </c>
    </row>
    <row r="20">
      <c r="A20" s="17" t="inlineStr">
        <is>
          <t>desktop</t>
        </is>
      </c>
      <c r="B20" s="17" t="n">
        <v>9</v>
      </c>
      <c r="C20" s="17" t="n">
        <v>0</v>
      </c>
      <c r="D20" s="17" t="n">
        <v>0</v>
      </c>
      <c r="E20" s="18" t="n">
        <v>0</v>
      </c>
    </row>
    <row r="22">
      <c r="A22" s="15" t="inlineStr">
        <is>
          <t>By Test Type</t>
        </is>
      </c>
      <c r="B22" s="16" t="n"/>
      <c r="C22" s="16" t="n"/>
      <c r="D22" s="16" t="n"/>
      <c r="E22" s="16" t="n"/>
    </row>
    <row r="23">
      <c r="A23" s="2" t="inlineStr">
        <is>
          <t>Test Type</t>
        </is>
      </c>
      <c r="B23" s="2" t="inlineStr">
        <is>
          <t>Total</t>
        </is>
      </c>
      <c r="C23" s="2" t="inlineStr">
        <is>
          <t>Pass</t>
        </is>
      </c>
      <c r="D23" s="2" t="inlineStr">
        <is>
          <t>Fail</t>
        </is>
      </c>
      <c r="E23" s="2" t="inlineStr">
        <is>
          <t>Pass Rate</t>
        </is>
      </c>
    </row>
    <row r="24">
      <c r="A24" s="17" t="inlineStr">
        <is>
          <t>UI-E2E</t>
        </is>
      </c>
      <c r="B24" s="17" t="n">
        <v>6</v>
      </c>
      <c r="C24" s="17" t="n">
        <v>0</v>
      </c>
      <c r="D24" s="17" t="n">
        <v>0</v>
      </c>
      <c r="E24" s="18" t="n">
        <v>0</v>
      </c>
    </row>
    <row r="25">
      <c r="A25" s="17" t="inlineStr">
        <is>
          <t>UI-Functional</t>
        </is>
      </c>
      <c r="B25" s="17" t="n">
        <v>3</v>
      </c>
      <c r="C25" s="17" t="n">
        <v>0</v>
      </c>
      <c r="D25" s="17" t="n">
        <v>0</v>
      </c>
      <c r="E25" s="18" t="n">
        <v>0</v>
      </c>
    </row>
    <row r="26">
      <c r="A26" s="17" t="inlineStr">
        <is>
          <t>API</t>
        </is>
      </c>
      <c r="B26" s="17" t="n">
        <v>15</v>
      </c>
      <c r="C26" s="17" t="n">
        <v>0</v>
      </c>
      <c r="D26" s="17" t="n">
        <v>0</v>
      </c>
      <c r="E26" s="18" t="n">
        <v>0</v>
      </c>
    </row>
    <row r="27">
      <c r="A27" s="17" t="inlineStr">
        <is>
          <t>Unit-Integration</t>
        </is>
      </c>
      <c r="B27" s="17" t="n">
        <v>4</v>
      </c>
      <c r="C27" s="17" t="n">
        <v>0</v>
      </c>
      <c r="D27" s="17" t="n">
        <v>0</v>
      </c>
      <c r="E27" s="18" t="n">
        <v>0</v>
      </c>
    </row>
    <row r="29">
      <c r="A29" s="15" t="inlineStr">
        <is>
          <t>By Priority</t>
        </is>
      </c>
      <c r="B29" s="16" t="n"/>
      <c r="C29" s="16" t="n"/>
      <c r="D29" s="16" t="n"/>
      <c r="E29" s="16" t="n"/>
    </row>
    <row r="30">
      <c r="A30" s="2" t="inlineStr">
        <is>
          <t>Priority</t>
        </is>
      </c>
      <c r="B30" s="2" t="inlineStr">
        <is>
          <t>Total</t>
        </is>
      </c>
      <c r="C30" s="2" t="inlineStr">
        <is>
          <t>Pass</t>
        </is>
      </c>
      <c r="D30" s="2" t="inlineStr">
        <is>
          <t>Fail</t>
        </is>
      </c>
      <c r="E30" s="2" t="inlineStr">
        <is>
          <t>Pass Rate</t>
        </is>
      </c>
    </row>
    <row r="31">
      <c r="A31" s="17" t="inlineStr">
        <is>
          <t>High</t>
        </is>
      </c>
      <c r="B31" s="17" t="n">
        <v>22</v>
      </c>
      <c r="C31" s="17" t="n">
        <v>0</v>
      </c>
      <c r="D31" s="17" t="n">
        <v>0</v>
      </c>
      <c r="E31" s="18" t="n">
        <v>0</v>
      </c>
    </row>
    <row r="32">
      <c r="A32" s="17" t="inlineStr">
        <is>
          <t>Medium</t>
        </is>
      </c>
      <c r="B32" s="17" t="n">
        <v>6</v>
      </c>
      <c r="C32" s="17" t="n">
        <v>0</v>
      </c>
      <c r="D32" s="17" t="n">
        <v>0</v>
      </c>
      <c r="E32" s="18" t="n">
        <v>0</v>
      </c>
    </row>
    <row r="34">
      <c r="A34" s="15" t="inlineStr">
        <is>
          <t>Defects By Severity</t>
        </is>
      </c>
      <c r="B34" s="16" t="n"/>
    </row>
    <row r="35">
      <c r="A35" s="2" t="inlineStr">
        <is>
          <t>Severity</t>
        </is>
      </c>
      <c r="B35" s="2" t="inlineStr">
        <is>
          <t>Count</t>
        </is>
      </c>
    </row>
    <row r="36">
      <c r="A36" s="17" t="inlineStr">
        <is>
          <t>Critical</t>
        </is>
      </c>
      <c r="B36" s="17" t="n">
        <v>0</v>
      </c>
    </row>
    <row r="37">
      <c r="A37" s="17" t="inlineStr">
        <is>
          <t>High</t>
        </is>
      </c>
      <c r="B37" s="17" t="n">
        <v>0</v>
      </c>
    </row>
    <row r="38">
      <c r="A38" s="17" t="inlineStr">
        <is>
          <t>Medium</t>
        </is>
      </c>
      <c r="B38" s="17" t="n">
        <v>0</v>
      </c>
    </row>
    <row r="39">
      <c r="A39" s="17" t="inlineStr">
        <is>
          <t>Low</t>
        </is>
      </c>
      <c r="B39" s="17" t="n">
        <v>0</v>
      </c>
    </row>
    <row r="40" ht="30" customHeight="1">
      <c r="A40" s="19" t="inlineStr">
        <is>
          <t>Note: No defects were logged — all executed test cases passed. No Critical/High/Medium/Low severity issues were found.</t>
        </is>
      </c>
    </row>
  </sheetData>
  <mergeCells count="8">
    <mergeCell ref="A12:E12"/>
    <mergeCell ref="A29:E29"/>
    <mergeCell ref="A2:E2"/>
    <mergeCell ref="A1:E1"/>
    <mergeCell ref="A22:E22"/>
    <mergeCell ref="A40:E40"/>
    <mergeCell ref="A18:E18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46" customWidth="1" min="4" max="4"/>
    <col width="10" customWidth="1" min="5" max="5"/>
    <col width="22" customWidth="1" min="6" max="6"/>
    <col width="12" customWidth="1" min="7" max="7"/>
  </cols>
  <sheetData>
    <row r="1" ht="24" customHeight="1">
      <c r="A1" s="2" t="inlineStr">
        <is>
          <t>TC ID</t>
        </is>
      </c>
      <c r="B1" s="2" t="inlineStr">
        <is>
          <t>Test Type</t>
        </is>
      </c>
      <c r="C1" s="2" t="inlineStr">
        <is>
          <t>Module</t>
        </is>
      </c>
      <c r="D1" s="2" t="inlineStr">
        <is>
          <t>Scenario</t>
        </is>
      </c>
      <c r="E1" s="2" t="inlineStr">
        <is>
          <t>Priority</t>
        </is>
      </c>
      <c r="F1" s="2" t="inlineStr">
        <is>
          <t>Device Type</t>
        </is>
      </c>
      <c r="G1" s="2" t="inlineStr">
        <is>
          <t>Status</t>
        </is>
      </c>
    </row>
    <row r="2" ht="34" customHeight="1">
      <c r="A2" s="20" t="inlineStr">
        <is>
          <t>TC_001</t>
        </is>
      </c>
      <c r="B2" s="4" t="inlineStr">
        <is>
          <t>UI-E2E</t>
        </is>
      </c>
      <c r="C2" s="4" t="inlineStr">
        <is>
          <t>Authentication</t>
        </is>
      </c>
      <c r="D2" s="4" t="inlineStr">
        <is>
          <t>เข้าสู่ระบบด้วย credential ที่ถูกต้องแล้วเข้าสู่ dashboard</t>
        </is>
      </c>
      <c r="E2" s="4" t="inlineStr">
        <is>
          <t>High</t>
        </is>
      </c>
      <c r="F2" s="4" t="inlineStr">
        <is>
          <t>Desktop</t>
        </is>
      </c>
      <c r="G2" s="21" t="inlineStr">
        <is>
          <t>Not Run</t>
        </is>
      </c>
    </row>
    <row r="3" ht="34" customHeight="1">
      <c r="A3" s="20" t="inlineStr">
        <is>
          <t>TC_002</t>
        </is>
      </c>
      <c r="B3" s="4" t="inlineStr">
        <is>
          <t>UI-Functional</t>
        </is>
      </c>
      <c r="C3" s="4" t="inlineStr">
        <is>
          <t>Authentication</t>
        </is>
      </c>
      <c r="D3" s="4" t="inlineStr">
        <is>
          <t>credential ไม่ถูกต้อง แสดง generic error โดยไม่เปิดเผยสาเหตุ</t>
        </is>
      </c>
      <c r="E3" s="4" t="inlineStr">
        <is>
          <t>High</t>
        </is>
      </c>
      <c r="F3" s="4" t="inlineStr">
        <is>
          <t>Desktop</t>
        </is>
      </c>
      <c r="G3" s="21" t="inlineStr">
        <is>
          <t>Not Run</t>
        </is>
      </c>
    </row>
    <row r="4" ht="19" customHeight="1">
      <c r="A4" s="20" t="inlineStr">
        <is>
          <t>TC_003</t>
        </is>
      </c>
      <c r="B4" s="4" t="inlineStr">
        <is>
          <t>UI-Functional</t>
        </is>
      </c>
      <c r="C4" s="4" t="inlineStr">
        <is>
          <t>Authentication</t>
        </is>
      </c>
      <c r="D4" s="4" t="inlineStr">
        <is>
          <t>required field ว่าง ไม่ส่งคำขอ login</t>
        </is>
      </c>
      <c r="E4" s="4" t="inlineStr">
        <is>
          <t>Medium</t>
        </is>
      </c>
      <c r="F4" s="4" t="inlineStr">
        <is>
          <t>Desktop</t>
        </is>
      </c>
      <c r="G4" s="21" t="inlineStr">
        <is>
          <t>Not Run</t>
        </is>
      </c>
    </row>
    <row r="5" ht="34" customHeight="1">
      <c r="A5" s="20" t="inlineStr">
        <is>
          <t>TC_004</t>
        </is>
      </c>
      <c r="B5" s="4" t="inlineStr">
        <is>
          <t>UI-Functional</t>
        </is>
      </c>
      <c r="C5" s="4" t="inlineStr">
        <is>
          <t>Authentication</t>
        </is>
      </c>
      <c r="D5" s="4" t="inlineStr">
        <is>
          <t>เปิด protected URL โดยยังไม่ login ถูก redirect ไป login และกลับมาที่เดิมหลัง login</t>
        </is>
      </c>
      <c r="E5" s="4" t="inlineStr">
        <is>
          <t>High</t>
        </is>
      </c>
      <c r="F5" s="4" t="inlineStr">
        <is>
          <t>Desktop</t>
        </is>
      </c>
      <c r="G5" s="21" t="inlineStr">
        <is>
          <t>Not Run</t>
        </is>
      </c>
    </row>
    <row r="6" ht="34" customHeight="1">
      <c r="A6" s="20" t="inlineStr">
        <is>
          <t>TC_005</t>
        </is>
      </c>
      <c r="B6" s="4" t="inlineStr">
        <is>
          <t>API</t>
        </is>
      </c>
      <c r="C6" s="4" t="inlineStr">
        <is>
          <t>Authentication</t>
        </is>
      </c>
      <c r="D6" s="4" t="inlineStr">
        <is>
          <t>POST /auth/login ด้วย credential ถูกต้อง คืน token + user</t>
        </is>
      </c>
      <c r="E6" s="4" t="inlineStr">
        <is>
          <t>High</t>
        </is>
      </c>
      <c r="F6" s="4" t="inlineStr">
        <is>
          <t>—</t>
        </is>
      </c>
      <c r="G6" s="21" t="inlineStr">
        <is>
          <t>Not Run</t>
        </is>
      </c>
    </row>
    <row r="7" ht="34" customHeight="1">
      <c r="A7" s="20" t="inlineStr">
        <is>
          <t>TC_006</t>
        </is>
      </c>
      <c r="B7" s="4" t="inlineStr">
        <is>
          <t>API</t>
        </is>
      </c>
      <c r="C7" s="4" t="inlineStr">
        <is>
          <t>Authentication</t>
        </is>
      </c>
      <c r="D7" s="4" t="inlineStr">
        <is>
          <t>POST /auth/login ด้วย credential ผิด คืน 401 ProblemDetails ทั่วไป</t>
        </is>
      </c>
      <c r="E7" s="4" t="inlineStr">
        <is>
          <t>High</t>
        </is>
      </c>
      <c r="F7" s="4" t="inlineStr">
        <is>
          <t>—</t>
        </is>
      </c>
      <c r="G7" s="21" t="inlineStr">
        <is>
          <t>Not Run</t>
        </is>
      </c>
    </row>
    <row r="8" ht="34" customHeight="1">
      <c r="A8" s="20" t="inlineStr">
        <is>
          <t>TC_007</t>
        </is>
      </c>
      <c r="B8" s="4" t="inlineStr">
        <is>
          <t>API</t>
        </is>
      </c>
      <c r="C8" s="4" t="inlineStr">
        <is>
          <t>Access Control (RBAC)</t>
        </is>
      </c>
      <c r="D8" s="4" t="inlineStr">
        <is>
          <t>เรียก endpoint ที่ป้องกันโดยไม่มี token คืน 401</t>
        </is>
      </c>
      <c r="E8" s="4" t="inlineStr">
        <is>
          <t>High</t>
        </is>
      </c>
      <c r="F8" s="4" t="inlineStr">
        <is>
          <t>—</t>
        </is>
      </c>
      <c r="G8" s="21" t="inlineStr">
        <is>
          <t>Not Run</t>
        </is>
      </c>
    </row>
    <row r="9" ht="34" customHeight="1">
      <c r="A9" s="20" t="inlineStr">
        <is>
          <t>TC_008</t>
        </is>
      </c>
      <c r="B9" s="4" t="inlineStr">
        <is>
          <t>API</t>
        </is>
      </c>
      <c r="C9" s="4" t="inlineStr">
        <is>
          <t>Access Control (RBAC)</t>
        </is>
      </c>
      <c r="D9" s="4" t="inlineStr">
        <is>
          <t>ผู้ใช้ไม่มีสิทธิ์เรียก endpoint ที่ต้องการ permission คืน 403</t>
        </is>
      </c>
      <c r="E9" s="4" t="inlineStr">
        <is>
          <t>High</t>
        </is>
      </c>
      <c r="F9" s="4" t="inlineStr">
        <is>
          <t>—</t>
        </is>
      </c>
      <c r="G9" s="21" t="inlineStr">
        <is>
          <t>Not Run</t>
        </is>
      </c>
    </row>
    <row r="10" ht="34" customHeight="1">
      <c r="A10" s="20" t="inlineStr">
        <is>
          <t>TC_009</t>
        </is>
      </c>
      <c r="B10" s="4" t="inlineStr">
        <is>
          <t>API</t>
        </is>
      </c>
      <c r="C10" s="4" t="inlineStr">
        <is>
          <t>Access Control (Data Segregation)</t>
        </is>
      </c>
      <c r="D10" s="4" t="inlineStr">
        <is>
          <t>list asset ถูก filter ตาม data scope ของผู้ใช้</t>
        </is>
      </c>
      <c r="E10" s="4" t="inlineStr">
        <is>
          <t>High</t>
        </is>
      </c>
      <c r="F10" s="4" t="inlineStr">
        <is>
          <t>—</t>
        </is>
      </c>
      <c r="G10" s="21" t="inlineStr">
        <is>
          <t>Not Run</t>
        </is>
      </c>
    </row>
    <row r="11" ht="34" customHeight="1">
      <c r="A11" s="20" t="inlineStr">
        <is>
          <t>TC_010</t>
        </is>
      </c>
      <c r="B11" s="4" t="inlineStr">
        <is>
          <t>UI-E2E</t>
        </is>
      </c>
      <c r="C11" s="4" t="inlineStr">
        <is>
          <t>Asset Management</t>
        </is>
      </c>
      <c r="D11" s="4" t="inlineStr">
        <is>
          <t>ดูรายการ asset พร้อม filter บนหน้า dashboard/vulnerabilities</t>
        </is>
      </c>
      <c r="E11" s="4" t="inlineStr">
        <is>
          <t>High</t>
        </is>
      </c>
      <c r="F11" s="4" t="inlineStr">
        <is>
          <t>Desktop</t>
        </is>
      </c>
      <c r="G11" s="21" t="inlineStr">
        <is>
          <t>Not Run</t>
        </is>
      </c>
    </row>
    <row r="12" ht="34" customHeight="1">
      <c r="A12" s="20" t="inlineStr">
        <is>
          <t>TC_011</t>
        </is>
      </c>
      <c r="B12" s="4" t="inlineStr">
        <is>
          <t>UI-E2E</t>
        </is>
      </c>
      <c r="C12" s="4" t="inlineStr">
        <is>
          <t>Vulnerability Intake</t>
        </is>
      </c>
      <c r="D12" s="4" t="inlineStr">
        <is>
          <t>นำเข้า finding จากไฟล์ CSV สำเร็จ แสดงผลสรุป batch</t>
        </is>
      </c>
      <c r="E12" s="4" t="inlineStr">
        <is>
          <t>High</t>
        </is>
      </c>
      <c r="F12" s="4" t="inlineStr">
        <is>
          <t>Desktop</t>
        </is>
      </c>
      <c r="G12" s="21" t="inlineStr">
        <is>
          <t>Not Run</t>
        </is>
      </c>
    </row>
    <row r="13" ht="34" customHeight="1">
      <c r="A13" s="20" t="inlineStr">
        <is>
          <t>TC_012</t>
        </is>
      </c>
      <c r="B13" s="4" t="inlineStr">
        <is>
          <t>API</t>
        </is>
      </c>
      <c r="C13" s="4" t="inlineStr">
        <is>
          <t>Vulnerability Intake</t>
        </is>
      </c>
      <c r="D13" s="4" t="inlineStr">
        <is>
          <t>POST /findings/import ไฟล์ผิด format ถูกปฏิเสธ</t>
        </is>
      </c>
      <c r="E13" s="4" t="inlineStr">
        <is>
          <t>High</t>
        </is>
      </c>
      <c r="F13" s="4" t="inlineStr">
        <is>
          <t>—</t>
        </is>
      </c>
      <c r="G13" s="21" t="inlineStr">
        <is>
          <t>Not Run</t>
        </is>
      </c>
    </row>
    <row r="14" ht="34" customHeight="1">
      <c r="A14" s="20" t="inlineStr">
        <is>
          <t>TC_013</t>
        </is>
      </c>
      <c r="B14" s="4" t="inlineStr">
        <is>
          <t>API</t>
        </is>
      </c>
      <c r="C14" s="4" t="inlineStr">
        <is>
          <t>Vulnerability Intake</t>
        </is>
      </c>
      <c r="D14" s="4" t="inlineStr">
        <is>
          <t>POST /findings/manual ขาด mandatory field ถูกปฏิเสธ</t>
        </is>
      </c>
      <c r="E14" s="4" t="inlineStr">
        <is>
          <t>High</t>
        </is>
      </c>
      <c r="F14" s="4" t="inlineStr">
        <is>
          <t>—</t>
        </is>
      </c>
      <c r="G14" s="21" t="inlineStr">
        <is>
          <t>Not Run</t>
        </is>
      </c>
    </row>
    <row r="15" ht="34" customHeight="1">
      <c r="A15" s="20" t="inlineStr">
        <is>
          <t>TC_014</t>
        </is>
      </c>
      <c r="B15" s="4" t="inlineStr">
        <is>
          <t>Unit-Integration</t>
        </is>
      </c>
      <c r="C15" s="4" t="inlineStr">
        <is>
          <t>Data Quality / Dedup</t>
        </is>
      </c>
      <c r="D15" s="4" t="inlineStr">
        <is>
          <t>dedup key ถูกต้อง + idempotent re-import + ambiguous → NeedsReview queue</t>
        </is>
      </c>
      <c r="E15" s="4" t="inlineStr">
        <is>
          <t>High</t>
        </is>
      </c>
      <c r="F15" s="4" t="inlineStr">
        <is>
          <t>—</t>
        </is>
      </c>
      <c r="G15" s="21" t="inlineStr">
        <is>
          <t>Not Run</t>
        </is>
      </c>
    </row>
    <row r="16" ht="34" customHeight="1">
      <c r="A16" s="20" t="inlineStr">
        <is>
          <t>TC_015</t>
        </is>
      </c>
      <c r="B16" s="4" t="inlineStr">
        <is>
          <t>Unit-Integration</t>
        </is>
      </c>
      <c r="C16" s="4" t="inlineStr">
        <is>
          <t>Risk Scoring</t>
        </is>
      </c>
      <c r="D16" s="4" t="inlineStr">
        <is>
          <t>RiskScoringEngine: score ∈ [0,100], weight-sum ถูก, classify ตาม threshold</t>
        </is>
      </c>
      <c r="E16" s="4" t="inlineStr">
        <is>
          <t>High</t>
        </is>
      </c>
      <c r="F16" s="4" t="inlineStr">
        <is>
          <t>—</t>
        </is>
      </c>
      <c r="G16" s="21" t="inlineStr">
        <is>
          <t>Not Run</t>
        </is>
      </c>
    </row>
    <row r="17" ht="34" customHeight="1">
      <c r="A17" s="20" t="inlineStr">
        <is>
          <t>TC_016</t>
        </is>
      </c>
      <c r="B17" s="4" t="inlineStr">
        <is>
          <t>API</t>
        </is>
      </c>
      <c r="C17" s="4" t="inlineStr">
        <is>
          <t>Risk Scoring</t>
        </is>
      </c>
      <c r="D17" s="4" t="inlineStr">
        <is>
          <t>PUT /admin/risk-weights ด้วย weight รวมผิด/ติดลบ คืน 422</t>
        </is>
      </c>
      <c r="E17" s="4" t="inlineStr">
        <is>
          <t>High</t>
        </is>
      </c>
      <c r="F17" s="4" t="inlineStr">
        <is>
          <t>—</t>
        </is>
      </c>
      <c r="G17" s="21" t="inlineStr">
        <is>
          <t>Not Run</t>
        </is>
      </c>
    </row>
    <row r="18" ht="34" customHeight="1">
      <c r="A18" s="20" t="inlineStr">
        <is>
          <t>TC_017</t>
        </is>
      </c>
      <c r="B18" s="4" t="inlineStr">
        <is>
          <t>Unit-Integration</t>
        </is>
      </c>
      <c r="C18" s="4" t="inlineStr">
        <is>
          <t>Workflow</t>
        </is>
      </c>
      <c r="D18" s="4" t="inlineStr">
        <is>
          <t>Workflow transition guard: allowed/blocked, missing-evidence block, concurrency</t>
        </is>
      </c>
      <c r="E18" s="4" t="inlineStr">
        <is>
          <t>High</t>
        </is>
      </c>
      <c r="F18" s="4" t="inlineStr">
        <is>
          <t>—</t>
        </is>
      </c>
      <c r="G18" s="21" t="inlineStr">
        <is>
          <t>Not Run</t>
        </is>
      </c>
    </row>
    <row r="19" ht="34" customHeight="1">
      <c r="A19" s="20" t="inlineStr">
        <is>
          <t>TC_018</t>
        </is>
      </c>
      <c r="B19" s="4" t="inlineStr">
        <is>
          <t>API</t>
        </is>
      </c>
      <c r="C19" s="4" t="inlineStr">
        <is>
          <t>Workflow</t>
        </is>
      </c>
      <c r="D19" s="4" t="inlineStr">
        <is>
          <t>POST /instances/{id}/transition ที่ไม่อยู่ใน workflow คืน 422</t>
        </is>
      </c>
      <c r="E19" s="4" t="inlineStr">
        <is>
          <t>High</t>
        </is>
      </c>
      <c r="F19" s="4" t="inlineStr">
        <is>
          <t>—</t>
        </is>
      </c>
      <c r="G19" s="21" t="inlineStr">
        <is>
          <t>Not Run</t>
        </is>
      </c>
    </row>
    <row r="20" ht="34" customHeight="1">
      <c r="A20" s="20" t="inlineStr">
        <is>
          <t>TC_019</t>
        </is>
      </c>
      <c r="B20" s="4" t="inlineStr">
        <is>
          <t>API</t>
        </is>
      </c>
      <c r="C20" s="4" t="inlineStr">
        <is>
          <t>Assignment &amp; Remediation</t>
        </is>
      </c>
      <c r="D20" s="4" t="inlineStr">
        <is>
          <t>POST /instances/bulk-assign ข้ามรายการที่นอก scope</t>
        </is>
      </c>
      <c r="E20" s="4" t="inlineStr">
        <is>
          <t>Medium</t>
        </is>
      </c>
      <c r="F20" s="4" t="inlineStr">
        <is>
          <t>—</t>
        </is>
      </c>
      <c r="G20" s="21" t="inlineStr">
        <is>
          <t>Not Run</t>
        </is>
      </c>
    </row>
    <row r="21" ht="34" customHeight="1">
      <c r="A21" s="20" t="inlineStr">
        <is>
          <t>TC_020</t>
        </is>
      </c>
      <c r="B21" s="4" t="inlineStr">
        <is>
          <t>API</t>
        </is>
      </c>
      <c r="C21" s="4" t="inlineStr">
        <is>
          <t>Assignment &amp; Remediation</t>
        </is>
      </c>
      <c r="D21" s="4" t="inlineStr">
        <is>
          <t>POST /instances/{id}/evidence ไฟล์ติด malware ถูกปฏิเสธ</t>
        </is>
      </c>
      <c r="E21" s="4" t="inlineStr">
        <is>
          <t>High</t>
        </is>
      </c>
      <c r="F21" s="4" t="inlineStr">
        <is>
          <t>—</t>
        </is>
      </c>
      <c r="G21" s="21" t="inlineStr">
        <is>
          <t>Not Run</t>
        </is>
      </c>
    </row>
    <row r="22" ht="34" customHeight="1">
      <c r="A22" s="20" t="inlineStr">
        <is>
          <t>TC_021</t>
        </is>
      </c>
      <c r="B22" s="4" t="inlineStr">
        <is>
          <t>Unit-Integration</t>
        </is>
      </c>
      <c r="C22" s="4" t="inlineStr">
        <is>
          <t>SLA</t>
        </is>
      </c>
      <c r="D22" s="4" t="inlineStr">
        <is>
          <t>SLA calculation: due date จาก policy + business calendar + breach detection</t>
        </is>
      </c>
      <c r="E22" s="4" t="inlineStr">
        <is>
          <t>High</t>
        </is>
      </c>
      <c r="F22" s="4" t="inlineStr">
        <is>
          <t>—</t>
        </is>
      </c>
      <c r="G22" s="21" t="inlineStr">
        <is>
          <t>Not Run</t>
        </is>
      </c>
    </row>
    <row r="23" ht="34" customHeight="1">
      <c r="A23" s="20" t="inlineStr">
        <is>
          <t>TC_022</t>
        </is>
      </c>
      <c r="B23" s="4" t="inlineStr">
        <is>
          <t>API</t>
        </is>
      </c>
      <c r="C23" s="4" t="inlineStr">
        <is>
          <t>SLA</t>
        </is>
      </c>
      <c r="D23" s="4" t="inlineStr">
        <is>
          <t>GET /instances/{id}/sla คืน timer + due dates + breach status</t>
        </is>
      </c>
      <c r="E23" s="4" t="inlineStr">
        <is>
          <t>Medium</t>
        </is>
      </c>
      <c r="F23" s="4" t="inlineStr">
        <is>
          <t>—</t>
        </is>
      </c>
      <c r="G23" s="21" t="inlineStr">
        <is>
          <t>Not Run</t>
        </is>
      </c>
    </row>
    <row r="24" ht="34" customHeight="1">
      <c r="A24" s="20" t="inlineStr">
        <is>
          <t>TC_023</t>
        </is>
      </c>
      <c r="B24" s="4" t="inlineStr">
        <is>
          <t>API</t>
        </is>
      </c>
      <c r="C24" s="4" t="inlineStr">
        <is>
          <t>Verification &amp; Closure</t>
        </is>
      </c>
      <c r="D24" s="4" t="inlineStr">
        <is>
          <t>Critical finding ปิดโดยไม่มี independent verifier ถูกปฏิเสธ</t>
        </is>
      </c>
      <c r="E24" s="4" t="inlineStr">
        <is>
          <t>High</t>
        </is>
      </c>
      <c r="F24" s="4" t="inlineStr">
        <is>
          <t>—</t>
        </is>
      </c>
      <c r="G24" s="21" t="inlineStr">
        <is>
          <t>Not Run</t>
        </is>
      </c>
    </row>
    <row r="25" ht="19" customHeight="1">
      <c r="A25" s="20" t="inlineStr">
        <is>
          <t>TC_024</t>
        </is>
      </c>
      <c r="B25" s="4" t="inlineStr">
        <is>
          <t>UI-E2E</t>
        </is>
      </c>
      <c r="C25" s="4" t="inlineStr">
        <is>
          <t>Dashboard</t>
        </is>
      </c>
      <c r="D25" s="4" t="inlineStr">
        <is>
          <t>เปิด dashboard แสดง Operations + Executive KPI</t>
        </is>
      </c>
      <c r="E25" s="4" t="inlineStr">
        <is>
          <t>Medium</t>
        </is>
      </c>
      <c r="F25" s="4" t="inlineStr">
        <is>
          <t>Desktop</t>
        </is>
      </c>
      <c r="G25" s="21" t="inlineStr">
        <is>
          <t>Not Run</t>
        </is>
      </c>
    </row>
    <row r="26" ht="34" customHeight="1">
      <c r="A26" s="20" t="inlineStr">
        <is>
          <t>TC_025</t>
        </is>
      </c>
      <c r="B26" s="4" t="inlineStr">
        <is>
          <t>UI-E2E</t>
        </is>
      </c>
      <c r="C26" s="4" t="inlineStr">
        <is>
          <t>Administration</t>
        </is>
      </c>
      <c r="D26" s="4" t="inlineStr">
        <is>
          <t>admin แก้ไข SLA policy / risk weight ผ่านหน้า admin สำเร็จ</t>
        </is>
      </c>
      <c r="E26" s="4" t="inlineStr">
        <is>
          <t>Medium</t>
        </is>
      </c>
      <c r="F26" s="4" t="inlineStr">
        <is>
          <t>Desktop</t>
        </is>
      </c>
      <c r="G26" s="21" t="inlineStr">
        <is>
          <t>Not Run</t>
        </is>
      </c>
    </row>
    <row r="27" ht="34" customHeight="1">
      <c r="A27" s="20" t="inlineStr">
        <is>
          <t>TC_026</t>
        </is>
      </c>
      <c r="B27" s="4" t="inlineStr">
        <is>
          <t>API</t>
        </is>
      </c>
      <c r="C27" s="4" t="inlineStr">
        <is>
          <t>Audit Trail</t>
        </is>
      </c>
      <c r="D27" s="4" t="inlineStr">
        <is>
          <t>GET /audit โดย auditor คืนรายการ audit (scoped)</t>
        </is>
      </c>
      <c r="E27" s="4" t="inlineStr">
        <is>
          <t>High</t>
        </is>
      </c>
      <c r="F27" s="4" t="inlineStr">
        <is>
          <t>—</t>
        </is>
      </c>
      <c r="G27" s="21" t="inlineStr">
        <is>
          <t>Not Run</t>
        </is>
      </c>
    </row>
    <row r="28" ht="19" customHeight="1">
      <c r="A28" s="20" t="inlineStr">
        <is>
          <t>TC_027</t>
        </is>
      </c>
      <c r="B28" s="4" t="inlineStr">
        <is>
          <t>API</t>
        </is>
      </c>
      <c r="C28" s="4" t="inlineStr">
        <is>
          <t>Audit Trail</t>
        </is>
      </c>
      <c r="D28" s="4" t="inlineStr">
        <is>
          <t>ผู้ไม่มีสิทธิ์เรียก GET /audit คืน 403</t>
        </is>
      </c>
      <c r="E28" s="4" t="inlineStr">
        <is>
          <t>High</t>
        </is>
      </c>
      <c r="F28" s="4" t="inlineStr">
        <is>
          <t>—</t>
        </is>
      </c>
      <c r="G28" s="21" t="inlineStr">
        <is>
          <t>Not Run</t>
        </is>
      </c>
    </row>
    <row r="29" ht="19" customHeight="1">
      <c r="A29" s="20" t="inlineStr">
        <is>
          <t>TC_028</t>
        </is>
      </c>
      <c r="B29" s="4" t="inlineStr">
        <is>
          <t>UI-E2E</t>
        </is>
      </c>
      <c r="C29" s="4" t="inlineStr">
        <is>
          <t>Authentication</t>
        </is>
      </c>
      <c r="D29" s="4" t="inlineStr">
        <is>
          <t>ออกจากระบบแล้วกด back ไม่เปิดหน้าที่ป้องกัน</t>
        </is>
      </c>
      <c r="E29" s="4" t="inlineStr">
        <is>
          <t>Medium</t>
        </is>
      </c>
      <c r="F29" s="4" t="inlineStr">
        <is>
          <t>Desktop</t>
        </is>
      </c>
      <c r="G29" s="21" t="inlineStr">
        <is>
          <t>Not Run</t>
        </is>
      </c>
    </row>
  </sheetData>
  <autoFilter ref="A1:G29"/>
  <hyperlinks>
    <hyperlink ref="A2" location="'UI-E2E'!A2"/>
    <hyperlink ref="A3" location="'UI-Functional'!A2"/>
    <hyperlink ref="A4" location="'UI-Functional'!A3"/>
    <hyperlink ref="A5" location="'UI-Functional'!A4"/>
    <hyperlink ref="A6" location="'API'!A2"/>
    <hyperlink ref="A7" location="'API'!A3"/>
    <hyperlink ref="A8" location="'API'!A4"/>
    <hyperlink ref="A9" location="'API'!A5"/>
    <hyperlink ref="A10" location="'API'!A6"/>
    <hyperlink ref="A11" location="'UI-E2E'!A3"/>
    <hyperlink ref="A12" location="'UI-E2E'!A4"/>
    <hyperlink ref="A13" location="'API'!A7"/>
    <hyperlink ref="A14" location="'API'!A8"/>
    <hyperlink ref="A15" location="'Unit-Integration'!A2"/>
    <hyperlink ref="A16" location="'Unit-Integration'!A3"/>
    <hyperlink ref="A17" location="'API'!A9"/>
    <hyperlink ref="A18" location="'Unit-Integration'!A4"/>
    <hyperlink ref="A19" location="'API'!A10"/>
    <hyperlink ref="A20" location="'API'!A11"/>
    <hyperlink ref="A21" location="'API'!A12"/>
    <hyperlink ref="A22" location="'Unit-Integration'!A5"/>
    <hyperlink ref="A23" location="'API'!A13"/>
    <hyperlink ref="A24" location="'API'!A14"/>
    <hyperlink ref="A25" location="'UI-E2E'!A5"/>
    <hyperlink ref="A26" location="'UI-E2E'!A6"/>
    <hyperlink ref="A27" location="'API'!A15"/>
    <hyperlink ref="A28" location="'API'!A16"/>
    <hyperlink ref="A29" location="'UI-E2E'!A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498DB"/>
    <outlinePr summaryBelow="1" summaryRight="1"/>
    <pageSetUpPr/>
  </sheetPr>
  <dimension ref="A1:A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38" customWidth="1" min="5" max="5"/>
    <col width="12" customWidth="1" min="6" max="6"/>
    <col width="10" customWidth="1" min="7" max="7"/>
    <col width="10" customWidth="1" min="8" max="8"/>
    <col width="12" customWidth="1" min="9" max="9"/>
    <col width="28" customWidth="1" min="10" max="10"/>
    <col width="40" customWidth="1" min="11" max="11"/>
    <col width="24" customWidth="1" min="12" max="12"/>
    <col width="14" customWidth="1" min="13" max="13"/>
    <col width="34" customWidth="1" min="14" max="14"/>
    <col width="10" customWidth="1" min="15" max="15"/>
    <col width="26" customWidth="1" min="16" max="16"/>
    <col width="12" customWidth="1" min="17" max="17"/>
    <col width="11" customWidth="1" min="18" max="18"/>
    <col width="30" customWidth="1" min="19" max="19"/>
    <col width="14" customWidth="1" min="20" max="20"/>
    <col width="22" customWidth="1" min="21" max="21"/>
    <col width="14" customWidth="1" min="22" max="22"/>
    <col width="12" customWidth="1" min="23" max="23"/>
    <col width="30" customWidth="1" min="24" max="24"/>
    <col width="26" customWidth="1" min="26" max="26"/>
    <col width="24" customWidth="1" min="27" max="27"/>
  </cols>
  <sheetData>
    <row r="1" ht="24" customHeight="1">
      <c r="A1" s="2" t="inlineStr">
        <is>
          <t>id</t>
        </is>
      </c>
      <c r="B1" s="2" t="inlineStr">
        <is>
          <t>user_story_id</t>
        </is>
      </c>
      <c r="C1" s="2" t="inlineStr">
        <is>
          <t>module</t>
        </is>
      </c>
      <c r="D1" s="2" t="inlineStr">
        <is>
          <t>qa_layer</t>
        </is>
      </c>
      <c r="E1" s="2" t="inlineStr">
        <is>
          <t>scenario</t>
        </is>
      </c>
      <c r="F1" s="2" t="inlineStr">
        <is>
          <t>category</t>
        </is>
      </c>
      <c r="G1" s="2" t="inlineStr">
        <is>
          <t>priority</t>
        </is>
      </c>
      <c r="H1" s="2" t="inlineStr">
        <is>
          <t>severity</t>
        </is>
      </c>
      <c r="I1" s="2" t="inlineStr">
        <is>
          <t>risk_level</t>
        </is>
      </c>
      <c r="J1" s="2" t="inlineStr">
        <is>
          <t>preconditions</t>
        </is>
      </c>
      <c r="K1" s="2" t="inlineStr">
        <is>
          <t>steps</t>
        </is>
      </c>
      <c r="L1" s="2" t="inlineStr">
        <is>
          <t>test_data</t>
        </is>
      </c>
      <c r="M1" s="2" t="inlineStr">
        <is>
          <t>test_data_source</t>
        </is>
      </c>
      <c r="N1" s="2" t="inlineStr">
        <is>
          <t>expected</t>
        </is>
      </c>
      <c r="O1" s="2" t="inlineStr">
        <is>
          <t>rule_id</t>
        </is>
      </c>
      <c r="P1" s="2" t="inlineStr">
        <is>
          <t>source_reference</t>
        </is>
      </c>
      <c r="Q1" s="2" t="inlineStr">
        <is>
          <t>source_origin</t>
        </is>
      </c>
      <c r="R1" s="2" t="inlineStr">
        <is>
          <t>status</t>
        </is>
      </c>
      <c r="S1" s="2" t="inlineStr">
        <is>
          <t>actual</t>
        </is>
      </c>
      <c r="T1" s="2" t="inlineStr">
        <is>
          <t>executed_by</t>
        </is>
      </c>
      <c r="U1" s="2" t="inlineStr">
        <is>
          <t>executed_at</t>
        </is>
      </c>
      <c r="V1" s="2" t="inlineStr">
        <is>
          <t>environment</t>
        </is>
      </c>
      <c r="W1" s="2" t="inlineStr">
        <is>
          <t>defect_id</t>
        </is>
      </c>
      <c r="X1" s="2" t="inlineStr">
        <is>
          <t>notes</t>
        </is>
      </c>
      <c r="Y1" s="2" t="inlineStr">
        <is>
          <t>screenshot</t>
        </is>
      </c>
      <c r="Z1" s="2" t="inlineStr">
        <is>
          <t>screenshot_path</t>
        </is>
      </c>
      <c r="AA1" s="2" t="inlineStr">
        <is>
          <t>video_path</t>
        </is>
      </c>
    </row>
    <row r="2" ht="79" customHeight="1">
      <c r="A2" s="4" t="inlineStr">
        <is>
          <t>TC_001</t>
        </is>
      </c>
      <c r="B2" s="4" t="inlineStr">
        <is>
          <t>US-001</t>
        </is>
      </c>
      <c r="C2" s="4" t="inlineStr">
        <is>
          <t>Authentication</t>
        </is>
      </c>
      <c r="D2" s="4" t="inlineStr">
        <is>
          <t>UI</t>
        </is>
      </c>
      <c r="E2" s="4" t="inlineStr">
        <is>
          <t>เข้าสู่ระบบด้วย credential ที่ถูกต้องแล้วเข้าสู่ dashboard</t>
        </is>
      </c>
      <c r="F2" s="4" t="inlineStr">
        <is>
          <t>Positive</t>
        </is>
      </c>
      <c r="G2" s="4" t="inlineStr">
        <is>
          <t>High</t>
        </is>
      </c>
      <c r="H2" s="4" t="inlineStr">
        <is>
          <t>High</t>
        </is>
      </c>
      <c r="I2" s="4" t="inlineStr">
        <is>
          <t>Critical</t>
        </is>
      </c>
      <c r="J2" s="4" t="inlineStr">
        <is>
          <t>web (:4200) + API (:5181) + SQL Server ทำงาน; seed user admin มีอยู่</t>
        </is>
      </c>
      <c r="K2" s="4" t="inlineStr">
        <is>
          <t>1. เปิด /login
2. กรอก username 'admin' และ password 'SvmDemo!2026'
3. กดเข้าสู่ระบบ
4. รอ redirect</t>
        </is>
      </c>
      <c r="L2" s="4" t="inlineStr">
        <is>
          <t>admin / SvmDemo!2026</t>
        </is>
      </c>
      <c r="M2" s="4" t="inlineStr">
        <is>
          <t>fixture</t>
        </is>
      </c>
      <c r="N2" s="4" t="inlineStr">
        <is>
          <t>เข้าสู่ระบบสำเร็จ ถูก redirect ไป /dashboard และแสดงตัวตน+บทบาท (Administrator) พร้อมปุ่มออกจากระบบ</t>
        </is>
      </c>
      <c r="O2" s="4" t="inlineStr">
        <is>
          <t>-</t>
        </is>
      </c>
      <c r="P2" s="4" t="inlineStr">
        <is>
          <t>docs/ui/authentication.md:Frontend acceptance #6</t>
        </is>
      </c>
      <c r="Q2" s="4" t="inlineStr">
        <is>
          <t>Doc</t>
        </is>
      </c>
      <c r="R2" s="21" t="inlineStr">
        <is>
          <t>Not Run</t>
        </is>
      </c>
      <c r="S2" s="4" t="inlineStr">
        <is>
          <t>-</t>
        </is>
      </c>
      <c r="T2" s="4" t="inlineStr">
        <is>
          <t>-</t>
        </is>
      </c>
      <c r="U2" s="4" t="inlineStr">
        <is>
          <t>-</t>
        </is>
      </c>
      <c r="V2" s="4" t="inlineStr">
        <is>
          <t>-</t>
        </is>
      </c>
      <c r="W2" s="4" t="inlineStr">
        <is>
          <t>-</t>
        </is>
      </c>
      <c r="X2" s="4" t="inlineStr">
        <is>
          <t>-</t>
        </is>
      </c>
      <c r="Y2" s="17" t="inlineStr"/>
      <c r="Z2" s="4" t="inlineStr">
        <is>
          <t>-</t>
        </is>
      </c>
      <c r="AA2" s="4" t="inlineStr">
        <is>
          <t>-</t>
        </is>
      </c>
    </row>
    <row r="3" ht="34" customHeight="1">
      <c r="A3" s="4" t="inlineStr">
        <is>
          <t>TC_010</t>
        </is>
      </c>
      <c r="B3" s="4" t="inlineStr">
        <is>
          <t>US-004</t>
        </is>
      </c>
      <c r="C3" s="4" t="inlineStr">
        <is>
          <t>Asset Management</t>
        </is>
      </c>
      <c r="D3" s="4" t="inlineStr">
        <is>
          <t>UI</t>
        </is>
      </c>
      <c r="E3" s="4" t="inlineStr">
        <is>
          <t>ดูรายการ asset พร้อม filter บนหน้า dashboard/vulnerabilities</t>
        </is>
      </c>
      <c r="F3" s="4" t="inlineStr">
        <is>
          <t>Positive</t>
        </is>
      </c>
      <c r="G3" s="4" t="inlineStr">
        <is>
          <t>High</t>
        </is>
      </c>
      <c r="H3" s="4" t="inlineStr">
        <is>
          <t>High</t>
        </is>
      </c>
      <c r="I3" s="4" t="inlineStr">
        <is>
          <t>High</t>
        </is>
      </c>
      <c r="J3" s="4" t="inlineStr">
        <is>
          <t>login เป็น officer1</t>
        </is>
      </c>
      <c r="K3" s="4" t="inlineStr">
        <is>
          <t>1. ไปหน้ารายการช่องโหว่/asset
2. ใช้ filter ตาม field</t>
        </is>
      </c>
      <c r="L3" s="4" t="inlineStr">
        <is>
          <t>filter riskLevel=Critical</t>
        </is>
      </c>
      <c r="M3" s="4" t="inlineStr">
        <is>
          <t>fixture</t>
        </is>
      </c>
      <c r="N3" s="4" t="inlineStr">
        <is>
          <t>แสดงรายการที่ตรงเงื่อนไขและอยู่ใน data scope พร้อมคอลัมน์สำคัญ</t>
        </is>
      </c>
      <c r="O3" s="4" t="inlineStr">
        <is>
          <t>FR-01</t>
        </is>
      </c>
      <c r="P3" s="4" t="inlineStr">
        <is>
          <t>.aidlc/specs/svm/requirements.md:US-004</t>
        </is>
      </c>
      <c r="Q3" s="4" t="inlineStr">
        <is>
          <t>Doc</t>
        </is>
      </c>
      <c r="R3" s="21" t="inlineStr">
        <is>
          <t>Not Run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4" t="inlineStr">
        <is>
          <t>-</t>
        </is>
      </c>
      <c r="X3" s="4" t="inlineStr">
        <is>
          <t>-</t>
        </is>
      </c>
      <c r="Y3" s="17" t="inlineStr"/>
      <c r="Z3" s="4" t="inlineStr">
        <is>
          <t>-</t>
        </is>
      </c>
      <c r="AA3" s="4" t="inlineStr">
        <is>
          <t>-</t>
        </is>
      </c>
    </row>
    <row r="4" ht="49" customHeight="1">
      <c r="A4" s="4" t="inlineStr">
        <is>
          <t>TC_011</t>
        </is>
      </c>
      <c r="B4" s="4" t="inlineStr">
        <is>
          <t>US-007</t>
        </is>
      </c>
      <c r="C4" s="4" t="inlineStr">
        <is>
          <t>Vulnerability Intake</t>
        </is>
      </c>
      <c r="D4" s="4" t="inlineStr">
        <is>
          <t>UI</t>
        </is>
      </c>
      <c r="E4" s="4" t="inlineStr">
        <is>
          <t>นำเข้า finding จากไฟล์ CSV สำเร็จ แสดงผลสรุป batch</t>
        </is>
      </c>
      <c r="F4" s="4" t="inlineStr">
        <is>
          <t>Positive</t>
        </is>
      </c>
      <c r="G4" s="4" t="inlineStr">
        <is>
          <t>High</t>
        </is>
      </c>
      <c r="H4" s="4" t="inlineStr">
        <is>
          <t>High</t>
        </is>
      </c>
      <c r="I4" s="4" t="inlineStr">
        <is>
          <t>High</t>
        </is>
      </c>
      <c r="J4" s="4" t="inlineStr">
        <is>
          <t>login เป็น officer1; มีไฟล์ CSV ตาม template</t>
        </is>
      </c>
      <c r="K4" s="4" t="inlineStr">
        <is>
          <t>1. ไปหน้า /intake
2. อัปโหลดไฟล์ CSV ที่ถูกต้อง
3. ยืนยัน</t>
        </is>
      </c>
      <c r="L4" s="4" t="inlineStr">
        <is>
          <t>findings_valid.csv</t>
        </is>
      </c>
      <c r="M4" s="4" t="inlineStr">
        <is>
          <t>fixture</t>
        </is>
      </c>
      <c r="N4" s="4" t="inlineStr">
        <is>
          <t>แสดงผล Success/Partial พร้อมจำนวน total/success/failed</t>
        </is>
      </c>
      <c r="O4" s="4" t="inlineStr">
        <is>
          <t>FR-05</t>
        </is>
      </c>
      <c r="P4" s="4" t="inlineStr">
        <is>
          <t>.aidlc/specs/svm/requirements.md:US-007</t>
        </is>
      </c>
      <c r="Q4" s="4" t="inlineStr">
        <is>
          <t>Doc</t>
        </is>
      </c>
      <c r="R4" s="21" t="inlineStr">
        <is>
          <t>Not Run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inlineStr">
        <is>
          <t>-</t>
        </is>
      </c>
      <c r="W4" s="4" t="inlineStr">
        <is>
          <t>-</t>
        </is>
      </c>
      <c r="X4" s="4" t="inlineStr">
        <is>
          <t>-</t>
        </is>
      </c>
      <c r="Y4" s="17" t="inlineStr"/>
      <c r="Z4" s="4" t="inlineStr">
        <is>
          <t>-</t>
        </is>
      </c>
      <c r="AA4" s="4" t="inlineStr">
        <is>
          <t>-</t>
        </is>
      </c>
    </row>
    <row r="5" ht="64" customHeight="1">
      <c r="A5" s="4" t="inlineStr">
        <is>
          <t>TC_024</t>
        </is>
      </c>
      <c r="B5" s="4" t="inlineStr">
        <is>
          <t>US-030</t>
        </is>
      </c>
      <c r="C5" s="4" t="inlineStr">
        <is>
          <t>Dashboard</t>
        </is>
      </c>
      <c r="D5" s="4" t="inlineStr">
        <is>
          <t>UI</t>
        </is>
      </c>
      <c r="E5" s="4" t="inlineStr">
        <is>
          <t>เปิด dashboard แสดง Operations + Executive KPI</t>
        </is>
      </c>
      <c r="F5" s="4" t="inlineStr">
        <is>
          <t>Positive</t>
        </is>
      </c>
      <c r="G5" s="4" t="inlineStr">
        <is>
          <t>Medium</t>
        </is>
      </c>
      <c r="H5" s="4" t="inlineStr">
        <is>
          <t>Medium</t>
        </is>
      </c>
      <c r="I5" s="4" t="inlineStr">
        <is>
          <t>Medium</t>
        </is>
      </c>
      <c r="J5" s="4" t="inlineStr">
        <is>
          <t>login เป็น admin</t>
        </is>
      </c>
      <c r="K5" s="4" t="inlineStr">
        <is>
          <t>1. ไปหน้า /dashboard
2. ตรวจ KPI card + risk distribution + overdue + KEV</t>
        </is>
      </c>
      <c r="L5" s="4" t="inlineStr">
        <is>
          <t>seed data</t>
        </is>
      </c>
      <c r="M5" s="4" t="inlineStr">
        <is>
          <t>fixture</t>
        </is>
      </c>
      <c r="N5" s="4" t="inlineStr">
        <is>
          <t>แสดง operations (unassigned/overdue/pending-verify) + executive (risk distribution, SLA compliance, KEV); สถานะมีสี+ไอคอน+label</t>
        </is>
      </c>
      <c r="O5" s="4" t="inlineStr">
        <is>
          <t>FR-56/57/NFR-34</t>
        </is>
      </c>
      <c r="P5" s="4" t="inlineStr">
        <is>
          <t>.aidlc/specs/svm/requirements.md:US-030</t>
        </is>
      </c>
      <c r="Q5" s="4" t="inlineStr">
        <is>
          <t>Doc</t>
        </is>
      </c>
      <c r="R5" s="21" t="inlineStr">
        <is>
          <t>Not Run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inlineStr">
        <is>
          <t>-</t>
        </is>
      </c>
      <c r="W5" s="4" t="inlineStr">
        <is>
          <t>-</t>
        </is>
      </c>
      <c r="X5" s="4" t="inlineStr">
        <is>
          <t>-</t>
        </is>
      </c>
      <c r="Y5" s="17" t="inlineStr"/>
      <c r="Z5" s="4" t="inlineStr">
        <is>
          <t>-</t>
        </is>
      </c>
      <c r="AA5" s="4" t="inlineStr">
        <is>
          <t>-</t>
        </is>
      </c>
    </row>
    <row r="6" ht="64" customHeight="1">
      <c r="A6" s="4" t="inlineStr">
        <is>
          <t>TC_025</t>
        </is>
      </c>
      <c r="B6" s="4" t="inlineStr">
        <is>
          <t>US-031</t>
        </is>
      </c>
      <c r="C6" s="4" t="inlineStr">
        <is>
          <t>Administration</t>
        </is>
      </c>
      <c r="D6" s="4" t="inlineStr">
        <is>
          <t>UI</t>
        </is>
      </c>
      <c r="E6" s="4" t="inlineStr">
        <is>
          <t>admin แก้ไข SLA policy / risk weight ผ่านหน้า admin สำเร็จ</t>
        </is>
      </c>
      <c r="F6" s="4" t="inlineStr">
        <is>
          <t>Positive</t>
        </is>
      </c>
      <c r="G6" s="4" t="inlineStr">
        <is>
          <t>Medium</t>
        </is>
      </c>
      <c r="H6" s="4" t="inlineStr">
        <is>
          <t>Medium</t>
        </is>
      </c>
      <c r="I6" s="4" t="inlineStr">
        <is>
          <t>Medium</t>
        </is>
      </c>
      <c r="J6" s="4" t="inlineStr">
        <is>
          <t>login เป็น admin</t>
        </is>
      </c>
      <c r="K6" s="4" t="inlineStr">
        <is>
          <t>1. ไปหน้า /admin
2. แก้ค่า SLA policy หรือ risk weight ที่ถูกต้อง
3. บันทึก</t>
        </is>
      </c>
      <c r="L6" s="4" t="inlineStr">
        <is>
          <t>risk weight ที่รวม = 100</t>
        </is>
      </c>
      <c r="M6" s="4" t="inlineStr">
        <is>
          <t>inline</t>
        </is>
      </c>
      <c r="N6" s="4" t="inlineStr">
        <is>
          <t>บันทึกสำเร็จ ระบบใช้ค่าใหม่ และมี audit log</t>
        </is>
      </c>
      <c r="O6" s="4" t="inlineStr">
        <is>
          <t>FR-64/65/66/BR-40</t>
        </is>
      </c>
      <c r="P6" s="4" t="inlineStr">
        <is>
          <t>.aidlc/specs/svm/requirements.md:US-031</t>
        </is>
      </c>
      <c r="Q6" s="4" t="inlineStr">
        <is>
          <t>Doc</t>
        </is>
      </c>
      <c r="R6" s="21" t="inlineStr">
        <is>
          <t>Not Run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17" t="inlineStr"/>
      <c r="Z6" s="4" t="inlineStr">
        <is>
          <t>-</t>
        </is>
      </c>
      <c r="AA6" s="4" t="inlineStr">
        <is>
          <t>-</t>
        </is>
      </c>
    </row>
    <row r="7" ht="34" customHeight="1">
      <c r="A7" s="4" t="inlineStr">
        <is>
          <t>TC_028</t>
        </is>
      </c>
      <c r="B7" s="4" t="inlineStr">
        <is>
          <t>US-001</t>
        </is>
      </c>
      <c r="C7" s="4" t="inlineStr">
        <is>
          <t>Authentication</t>
        </is>
      </c>
      <c r="D7" s="4" t="inlineStr">
        <is>
          <t>UI</t>
        </is>
      </c>
      <c r="E7" s="4" t="inlineStr">
        <is>
          <t>ออกจากระบบแล้วกด back ไม่เปิดหน้าที่ป้องกัน</t>
        </is>
      </c>
      <c r="F7" s="4" t="inlineStr">
        <is>
          <t>Negative</t>
        </is>
      </c>
      <c r="G7" s="4" t="inlineStr">
        <is>
          <t>Medium</t>
        </is>
      </c>
      <c r="H7" s="4" t="inlineStr">
        <is>
          <t>Medium</t>
        </is>
      </c>
      <c r="I7" s="4" t="inlineStr">
        <is>
          <t>High</t>
        </is>
      </c>
      <c r="J7" s="4" t="inlineStr">
        <is>
          <t>login สำเร็จแล้ว</t>
        </is>
      </c>
      <c r="K7" s="4" t="inlineStr">
        <is>
          <t>1. กดออกจากระบบ
2. กด browser back ไปหน้า protected</t>
        </is>
      </c>
      <c r="L7" s="4" t="inlineStr">
        <is>
          <t>-</t>
        </is>
      </c>
      <c r="M7" s="4" t="inlineStr">
        <is>
          <t>inline</t>
        </is>
      </c>
      <c r="N7" s="4" t="inlineStr">
        <is>
          <t>กลับไป /login ไม่แสดง UI ที่ป้องกัน; reload ก็ไม่เปิด</t>
        </is>
      </c>
      <c r="O7" s="4" t="inlineStr">
        <is>
          <t>-</t>
        </is>
      </c>
      <c r="P7" s="4" t="inlineStr">
        <is>
          <t>docs/ui/authentication.md:Frontend acceptance #12</t>
        </is>
      </c>
      <c r="Q7" s="4" t="inlineStr">
        <is>
          <t>Doc</t>
        </is>
      </c>
      <c r="R7" s="21" t="inlineStr">
        <is>
          <t>Not Run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17" t="inlineStr"/>
      <c r="Z7" s="4" t="inlineStr">
        <is>
          <t>-</t>
        </is>
      </c>
      <c r="AA7" s="4" t="inlineStr">
        <is>
          <t>-</t>
        </is>
      </c>
    </row>
  </sheetData>
  <autoFilter ref="A1:AA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498DB"/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38" customWidth="1" min="5" max="5"/>
    <col width="12" customWidth="1" min="6" max="6"/>
    <col width="10" customWidth="1" min="7" max="7"/>
    <col width="10" customWidth="1" min="8" max="8"/>
    <col width="12" customWidth="1" min="9" max="9"/>
    <col width="28" customWidth="1" min="10" max="10"/>
    <col width="40" customWidth="1" min="11" max="11"/>
    <col width="24" customWidth="1" min="12" max="12"/>
    <col width="14" customWidth="1" min="13" max="13"/>
    <col width="34" customWidth="1" min="14" max="14"/>
    <col width="10" customWidth="1" min="15" max="15"/>
    <col width="26" customWidth="1" min="16" max="16"/>
    <col width="12" customWidth="1" min="17" max="17"/>
    <col width="11" customWidth="1" min="18" max="18"/>
    <col width="30" customWidth="1" min="19" max="19"/>
    <col width="14" customWidth="1" min="20" max="20"/>
    <col width="22" customWidth="1" min="21" max="21"/>
    <col width="14" customWidth="1" min="22" max="22"/>
    <col width="12" customWidth="1" min="23" max="23"/>
    <col width="30" customWidth="1" min="24" max="24"/>
    <col width="26" customWidth="1" min="26" max="26"/>
    <col width="24" customWidth="1" min="27" max="27"/>
  </cols>
  <sheetData>
    <row r="1" ht="24" customHeight="1">
      <c r="A1" s="2" t="inlineStr">
        <is>
          <t>id</t>
        </is>
      </c>
      <c r="B1" s="2" t="inlineStr">
        <is>
          <t>user_story_id</t>
        </is>
      </c>
      <c r="C1" s="2" t="inlineStr">
        <is>
          <t>module</t>
        </is>
      </c>
      <c r="D1" s="2" t="inlineStr">
        <is>
          <t>qa_layer</t>
        </is>
      </c>
      <c r="E1" s="2" t="inlineStr">
        <is>
          <t>scenario</t>
        </is>
      </c>
      <c r="F1" s="2" t="inlineStr">
        <is>
          <t>category</t>
        </is>
      </c>
      <c r="G1" s="2" t="inlineStr">
        <is>
          <t>priority</t>
        </is>
      </c>
      <c r="H1" s="2" t="inlineStr">
        <is>
          <t>severity</t>
        </is>
      </c>
      <c r="I1" s="2" t="inlineStr">
        <is>
          <t>risk_level</t>
        </is>
      </c>
      <c r="J1" s="2" t="inlineStr">
        <is>
          <t>preconditions</t>
        </is>
      </c>
      <c r="K1" s="2" t="inlineStr">
        <is>
          <t>steps</t>
        </is>
      </c>
      <c r="L1" s="2" t="inlineStr">
        <is>
          <t>test_data</t>
        </is>
      </c>
      <c r="M1" s="2" t="inlineStr">
        <is>
          <t>test_data_source</t>
        </is>
      </c>
      <c r="N1" s="2" t="inlineStr">
        <is>
          <t>expected</t>
        </is>
      </c>
      <c r="O1" s="2" t="inlineStr">
        <is>
          <t>rule_id</t>
        </is>
      </c>
      <c r="P1" s="2" t="inlineStr">
        <is>
          <t>source_reference</t>
        </is>
      </c>
      <c r="Q1" s="2" t="inlineStr">
        <is>
          <t>source_origin</t>
        </is>
      </c>
      <c r="R1" s="2" t="inlineStr">
        <is>
          <t>status</t>
        </is>
      </c>
      <c r="S1" s="2" t="inlineStr">
        <is>
          <t>actual</t>
        </is>
      </c>
      <c r="T1" s="2" t="inlineStr">
        <is>
          <t>executed_by</t>
        </is>
      </c>
      <c r="U1" s="2" t="inlineStr">
        <is>
          <t>executed_at</t>
        </is>
      </c>
      <c r="V1" s="2" t="inlineStr">
        <is>
          <t>environment</t>
        </is>
      </c>
      <c r="W1" s="2" t="inlineStr">
        <is>
          <t>defect_id</t>
        </is>
      </c>
      <c r="X1" s="2" t="inlineStr">
        <is>
          <t>notes</t>
        </is>
      </c>
      <c r="Y1" s="2" t="inlineStr">
        <is>
          <t>screenshot</t>
        </is>
      </c>
      <c r="Z1" s="2" t="inlineStr">
        <is>
          <t>screenshot_path</t>
        </is>
      </c>
      <c r="AA1" s="2" t="inlineStr">
        <is>
          <t>video_path</t>
        </is>
      </c>
    </row>
    <row r="2" ht="64" customHeight="1">
      <c r="A2" s="4" t="inlineStr">
        <is>
          <t>TC_002</t>
        </is>
      </c>
      <c r="B2" s="4" t="inlineStr">
        <is>
          <t>US-001</t>
        </is>
      </c>
      <c r="C2" s="4" t="inlineStr">
        <is>
          <t>Authentication</t>
        </is>
      </c>
      <c r="D2" s="4" t="inlineStr">
        <is>
          <t>UI</t>
        </is>
      </c>
      <c r="E2" s="4" t="inlineStr">
        <is>
          <t>credential ไม่ถูกต้อง แสดง generic error โดยไม่เปิดเผยสาเหตุ</t>
        </is>
      </c>
      <c r="F2" s="4" t="inlineStr">
        <is>
          <t>Negative</t>
        </is>
      </c>
      <c r="G2" s="4" t="inlineStr">
        <is>
          <t>High</t>
        </is>
      </c>
      <c r="H2" s="4" t="inlineStr">
        <is>
          <t>High</t>
        </is>
      </c>
      <c r="I2" s="4" t="inlineStr">
        <is>
          <t>Critical</t>
        </is>
      </c>
      <c r="J2" s="4" t="inlineStr">
        <is>
          <t>อยู่ที่หน้า /login</t>
        </is>
      </c>
      <c r="K2" s="4" t="inlineStr">
        <is>
          <t>1. กรอก username 'admin' และ password ผิด
2. กดเข้าสู่ระบบ</t>
        </is>
      </c>
      <c r="L2" s="4" t="inlineStr">
        <is>
          <t>admin / wrong-password</t>
        </is>
      </c>
      <c r="M2" s="4" t="inlineStr">
        <is>
          <t>inline</t>
        </is>
      </c>
      <c r="N2" s="4" t="inlineStr">
        <is>
          <t>แสดง inline error แบบทั่วไปใน role=alert, ย้าย focus ไป error, ไม่บอกว่า username มีจริงหรือบัญชีถูกปิด</t>
        </is>
      </c>
      <c r="O2" s="4" t="inlineStr">
        <is>
          <t>EX-01</t>
        </is>
      </c>
      <c r="P2" s="4" t="inlineStr">
        <is>
          <t>docs/ui/authentication.md:Frontend acceptance #2</t>
        </is>
      </c>
      <c r="Q2" s="4" t="inlineStr">
        <is>
          <t>Doc</t>
        </is>
      </c>
      <c r="R2" s="21" t="inlineStr">
        <is>
          <t>Not Run</t>
        </is>
      </c>
      <c r="S2" s="4" t="inlineStr">
        <is>
          <t>-</t>
        </is>
      </c>
      <c r="T2" s="4" t="inlineStr">
        <is>
          <t>-</t>
        </is>
      </c>
      <c r="U2" s="4" t="inlineStr">
        <is>
          <t>-</t>
        </is>
      </c>
      <c r="V2" s="4" t="inlineStr">
        <is>
          <t>-</t>
        </is>
      </c>
      <c r="W2" s="4" t="inlineStr">
        <is>
          <t>-</t>
        </is>
      </c>
      <c r="X2" s="4" t="inlineStr">
        <is>
          <t>-</t>
        </is>
      </c>
      <c r="Y2" s="17" t="inlineStr"/>
      <c r="Z2" s="4" t="inlineStr">
        <is>
          <t>-</t>
        </is>
      </c>
      <c r="AA2" s="4" t="inlineStr">
        <is>
          <t>-</t>
        </is>
      </c>
    </row>
    <row r="3" ht="34" customHeight="1">
      <c r="A3" s="4" t="inlineStr">
        <is>
          <t>TC_003</t>
        </is>
      </c>
      <c r="B3" s="4" t="inlineStr">
        <is>
          <t>US-001</t>
        </is>
      </c>
      <c r="C3" s="4" t="inlineStr">
        <is>
          <t>Authentication</t>
        </is>
      </c>
      <c r="D3" s="4" t="inlineStr">
        <is>
          <t>UI</t>
        </is>
      </c>
      <c r="E3" s="4" t="inlineStr">
        <is>
          <t>required field ว่าง ไม่ส่งคำขอ login</t>
        </is>
      </c>
      <c r="F3" s="4" t="inlineStr">
        <is>
          <t>Negative</t>
        </is>
      </c>
      <c r="G3" s="4" t="inlineStr">
        <is>
          <t>Medium</t>
        </is>
      </c>
      <c r="H3" s="4" t="inlineStr">
        <is>
          <t>Medium</t>
        </is>
      </c>
      <c r="I3" s="4" t="inlineStr">
        <is>
          <t>High</t>
        </is>
      </c>
      <c r="J3" s="4" t="inlineStr">
        <is>
          <t>อยู่ที่หน้า /login</t>
        </is>
      </c>
      <c r="K3" s="4" t="inlineStr">
        <is>
          <t>1. เว้น username/password ว่าง
2. กดเข้าสู่ระบบ</t>
        </is>
      </c>
      <c r="L3" s="4" t="inlineStr">
        <is>
          <t>(ว่าง)</t>
        </is>
      </c>
      <c r="M3" s="4" t="inlineStr">
        <is>
          <t>inline</t>
        </is>
      </c>
      <c r="N3" s="4" t="inlineStr">
        <is>
          <t>แสดง validation ของ field ที่ว่าง และไม่มีการเรียก AuthService.login</t>
        </is>
      </c>
      <c r="O3" s="4" t="inlineStr">
        <is>
          <t>-</t>
        </is>
      </c>
      <c r="P3" s="4" t="inlineStr">
        <is>
          <t>docs/ui/authentication.md:Frontend acceptance #1</t>
        </is>
      </c>
      <c r="Q3" s="4" t="inlineStr">
        <is>
          <t>Doc</t>
        </is>
      </c>
      <c r="R3" s="21" t="inlineStr">
        <is>
          <t>Not Run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4" t="inlineStr">
        <is>
          <t>-</t>
        </is>
      </c>
      <c r="X3" s="4" t="inlineStr">
        <is>
          <t>-</t>
        </is>
      </c>
      <c r="Y3" s="17" t="inlineStr"/>
      <c r="Z3" s="4" t="inlineStr">
        <is>
          <t>-</t>
        </is>
      </c>
      <c r="AA3" s="4" t="inlineStr">
        <is>
          <t>-</t>
        </is>
      </c>
    </row>
    <row r="4" ht="64" customHeight="1">
      <c r="A4" s="4" t="inlineStr">
        <is>
          <t>TC_004</t>
        </is>
      </c>
      <c r="B4" s="4" t="inlineStr">
        <is>
          <t>US-001</t>
        </is>
      </c>
      <c r="C4" s="4" t="inlineStr">
        <is>
          <t>Authentication</t>
        </is>
      </c>
      <c r="D4" s="4" t="inlineStr">
        <is>
          <t>UI</t>
        </is>
      </c>
      <c r="E4" s="4" t="inlineStr">
        <is>
          <t>เปิด protected URL โดยยังไม่ login ถูก redirect ไป login และกลับมาที่เดิมหลัง login</t>
        </is>
      </c>
      <c r="F4" s="4" t="inlineStr">
        <is>
          <t>Negative</t>
        </is>
      </c>
      <c r="G4" s="4" t="inlineStr">
        <is>
          <t>High</t>
        </is>
      </c>
      <c r="H4" s="4" t="inlineStr">
        <is>
          <t>High</t>
        </is>
      </c>
      <c r="I4" s="4" t="inlineStr">
        <is>
          <t>Critical</t>
        </is>
      </c>
      <c r="J4" s="4" t="inlineStr">
        <is>
          <t>ไม่มี session</t>
        </is>
      </c>
      <c r="K4" s="4" t="inlineStr">
        <is>
          <t>1. เปิด /vulnerabilities โดยตรง
2. ถูก redirect ไป /login
3. login สำเร็จ</t>
        </is>
      </c>
      <c r="L4" s="4" t="inlineStr">
        <is>
          <t>returnUrl=/vulnerabilities</t>
        </is>
      </c>
      <c r="M4" s="4" t="inlineStr">
        <is>
          <t>inline</t>
        </is>
      </c>
      <c r="N4" s="4" t="inlineStr">
        <is>
          <t>redirect ไป /login เก็บเฉพาะ returnUrl ภายในที่ allowlist; หลัง login กลับไป /vulnerabilities (URL ภายนอก/ไม่ allowlist → /dashboard)</t>
        </is>
      </c>
      <c r="O4" s="4" t="inlineStr">
        <is>
          <t>-</t>
        </is>
      </c>
      <c r="P4" s="4" t="inlineStr">
        <is>
          <t>docs/ui/authentication.md:Frontend acceptance #10</t>
        </is>
      </c>
      <c r="Q4" s="4" t="inlineStr">
        <is>
          <t>Doc</t>
        </is>
      </c>
      <c r="R4" s="21" t="inlineStr">
        <is>
          <t>Not Run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inlineStr">
        <is>
          <t>-</t>
        </is>
      </c>
      <c r="W4" s="4" t="inlineStr">
        <is>
          <t>-</t>
        </is>
      </c>
      <c r="X4" s="4" t="inlineStr">
        <is>
          <t>-</t>
        </is>
      </c>
      <c r="Y4" s="17" t="inlineStr"/>
      <c r="Z4" s="4" t="inlineStr">
        <is>
          <t>-</t>
        </is>
      </c>
      <c r="AA4" s="4" t="inlineStr">
        <is>
          <t>-</t>
        </is>
      </c>
    </row>
  </sheetData>
  <autoFilter ref="A1:AA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498DB"/>
    <outlinePr summaryBelow="1" summaryRight="1"/>
    <pageSetUpPr/>
  </sheetPr>
  <dimension ref="A1:A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38" customWidth="1" min="5" max="5"/>
    <col width="12" customWidth="1" min="6" max="6"/>
    <col width="10" customWidth="1" min="7" max="7"/>
    <col width="10" customWidth="1" min="8" max="8"/>
    <col width="12" customWidth="1" min="9" max="9"/>
    <col width="28" customWidth="1" min="10" max="10"/>
    <col width="40" customWidth="1" min="11" max="11"/>
    <col width="24" customWidth="1" min="12" max="12"/>
    <col width="14" customWidth="1" min="13" max="13"/>
    <col width="34" customWidth="1" min="14" max="14"/>
    <col width="10" customWidth="1" min="15" max="15"/>
    <col width="26" customWidth="1" min="16" max="16"/>
    <col width="12" customWidth="1" min="17" max="17"/>
    <col width="11" customWidth="1" min="18" max="18"/>
    <col width="30" customWidth="1" min="19" max="19"/>
    <col width="14" customWidth="1" min="20" max="20"/>
    <col width="22" customWidth="1" min="21" max="21"/>
    <col width="14" customWidth="1" min="22" max="22"/>
    <col width="12" customWidth="1" min="23" max="23"/>
    <col width="30" customWidth="1" min="24" max="24"/>
    <col width="26" customWidth="1" min="26" max="26"/>
    <col width="24" customWidth="1" min="27" max="27"/>
  </cols>
  <sheetData>
    <row r="1" ht="24" customHeight="1">
      <c r="A1" s="2" t="inlineStr">
        <is>
          <t>id</t>
        </is>
      </c>
      <c r="B1" s="2" t="inlineStr">
        <is>
          <t>user_story_id</t>
        </is>
      </c>
      <c r="C1" s="2" t="inlineStr">
        <is>
          <t>module</t>
        </is>
      </c>
      <c r="D1" s="2" t="inlineStr">
        <is>
          <t>qa_layer</t>
        </is>
      </c>
      <c r="E1" s="2" t="inlineStr">
        <is>
          <t>scenario</t>
        </is>
      </c>
      <c r="F1" s="2" t="inlineStr">
        <is>
          <t>category</t>
        </is>
      </c>
      <c r="G1" s="2" t="inlineStr">
        <is>
          <t>priority</t>
        </is>
      </c>
      <c r="H1" s="2" t="inlineStr">
        <is>
          <t>severity</t>
        </is>
      </c>
      <c r="I1" s="2" t="inlineStr">
        <is>
          <t>risk_level</t>
        </is>
      </c>
      <c r="J1" s="2" t="inlineStr">
        <is>
          <t>preconditions</t>
        </is>
      </c>
      <c r="K1" s="2" t="inlineStr">
        <is>
          <t>steps</t>
        </is>
      </c>
      <c r="L1" s="2" t="inlineStr">
        <is>
          <t>test_data</t>
        </is>
      </c>
      <c r="M1" s="2" t="inlineStr">
        <is>
          <t>test_data_source</t>
        </is>
      </c>
      <c r="N1" s="2" t="inlineStr">
        <is>
          <t>expected</t>
        </is>
      </c>
      <c r="O1" s="2" t="inlineStr">
        <is>
          <t>rule_id</t>
        </is>
      </c>
      <c r="P1" s="2" t="inlineStr">
        <is>
          <t>source_reference</t>
        </is>
      </c>
      <c r="Q1" s="2" t="inlineStr">
        <is>
          <t>source_origin</t>
        </is>
      </c>
      <c r="R1" s="2" t="inlineStr">
        <is>
          <t>status</t>
        </is>
      </c>
      <c r="S1" s="2" t="inlineStr">
        <is>
          <t>actual</t>
        </is>
      </c>
      <c r="T1" s="2" t="inlineStr">
        <is>
          <t>executed_by</t>
        </is>
      </c>
      <c r="U1" s="2" t="inlineStr">
        <is>
          <t>executed_at</t>
        </is>
      </c>
      <c r="V1" s="2" t="inlineStr">
        <is>
          <t>environment</t>
        </is>
      </c>
      <c r="W1" s="2" t="inlineStr">
        <is>
          <t>defect_id</t>
        </is>
      </c>
      <c r="X1" s="2" t="inlineStr">
        <is>
          <t>notes</t>
        </is>
      </c>
      <c r="Y1" s="2" t="inlineStr">
        <is>
          <t>screenshot</t>
        </is>
      </c>
      <c r="Z1" s="2" t="inlineStr">
        <is>
          <t>screenshot_path</t>
        </is>
      </c>
      <c r="AA1" s="2" t="inlineStr">
        <is>
          <t>video_path</t>
        </is>
      </c>
    </row>
    <row r="2" ht="64" customHeight="1">
      <c r="A2" s="4" t="inlineStr">
        <is>
          <t>TC_005</t>
        </is>
      </c>
      <c r="B2" s="4" t="inlineStr">
        <is>
          <t>US-001</t>
        </is>
      </c>
      <c r="C2" s="4" t="inlineStr">
        <is>
          <t>Authentication</t>
        </is>
      </c>
      <c r="D2" s="4" t="inlineStr">
        <is>
          <t>API</t>
        </is>
      </c>
      <c r="E2" s="4" t="inlineStr">
        <is>
          <t>POST /auth/login ด้วย credential ถูกต้อง คืน token + user</t>
        </is>
      </c>
      <c r="F2" s="4" t="inlineStr">
        <is>
          <t>Positive</t>
        </is>
      </c>
      <c r="G2" s="4" t="inlineStr">
        <is>
          <t>High</t>
        </is>
      </c>
      <c r="H2" s="4" t="inlineStr">
        <is>
          <t>High</t>
        </is>
      </c>
      <c r="I2" s="4" t="inlineStr">
        <is>
          <t>Critical</t>
        </is>
      </c>
      <c r="J2" s="4" t="inlineStr">
        <is>
          <t>API ทำงาน; ขอ CSRF token จาก GET /auth/csrf ก่อน</t>
        </is>
      </c>
      <c r="K2" s="4" t="inlineStr">
        <is>
          <t>1. GET /api/v1/auth/csrf
2. POST /api/v1/auth/login body {username,password} พร้อม CSRF header</t>
        </is>
      </c>
      <c r="L2" s="4" t="inlineStr">
        <is>
          <t>{ "username":"admin", "password":"SvmDemo!2026" }</t>
        </is>
      </c>
      <c r="M2" s="4" t="inlineStr">
        <is>
          <t>fixture</t>
        </is>
      </c>
      <c r="N2" s="4" t="inlineStr">
        <is>
          <t>200; body มี token/expiresAt และ user (id, displayName, roles); ตั้ง refresh cookie (HttpOnly, SameSite=Strict)</t>
        </is>
      </c>
      <c r="O2" s="4" t="inlineStr">
        <is>
          <t>-</t>
        </is>
      </c>
      <c r="P2" s="4" t="inlineStr">
        <is>
          <t>.aidlc/specs/svm/design/api-spec.md:Auth</t>
        </is>
      </c>
      <c r="Q2" s="4" t="inlineStr">
        <is>
          <t>Doc</t>
        </is>
      </c>
      <c r="R2" s="21" t="inlineStr">
        <is>
          <t>Not Run</t>
        </is>
      </c>
      <c r="S2" s="4" t="inlineStr">
        <is>
          <t>-</t>
        </is>
      </c>
      <c r="T2" s="4" t="inlineStr">
        <is>
          <t>-</t>
        </is>
      </c>
      <c r="U2" s="4" t="inlineStr">
        <is>
          <t>-</t>
        </is>
      </c>
      <c r="V2" s="4" t="inlineStr">
        <is>
          <t>-</t>
        </is>
      </c>
      <c r="W2" s="4" t="inlineStr">
        <is>
          <t>-</t>
        </is>
      </c>
      <c r="X2" s="4" t="inlineStr">
        <is>
          <t>-</t>
        </is>
      </c>
      <c r="Y2" s="17" t="inlineStr"/>
      <c r="Z2" s="4" t="inlineStr">
        <is>
          <t>-</t>
        </is>
      </c>
      <c r="AA2" s="4" t="inlineStr">
        <is>
          <t>-</t>
        </is>
      </c>
    </row>
    <row r="3" ht="49" customHeight="1">
      <c r="A3" s="4" t="inlineStr">
        <is>
          <t>TC_006</t>
        </is>
      </c>
      <c r="B3" s="4" t="inlineStr">
        <is>
          <t>US-001</t>
        </is>
      </c>
      <c r="C3" s="4" t="inlineStr">
        <is>
          <t>Authentication</t>
        </is>
      </c>
      <c r="D3" s="4" t="inlineStr">
        <is>
          <t>API</t>
        </is>
      </c>
      <c r="E3" s="4" t="inlineStr">
        <is>
          <t>POST /auth/login ด้วย credential ผิด คืน 401 ProblemDetails ทั่วไป</t>
        </is>
      </c>
      <c r="F3" s="4" t="inlineStr">
        <is>
          <t>Negative</t>
        </is>
      </c>
      <c r="G3" s="4" t="inlineStr">
        <is>
          <t>High</t>
        </is>
      </c>
      <c r="H3" s="4" t="inlineStr">
        <is>
          <t>High</t>
        </is>
      </c>
      <c r="I3" s="4" t="inlineStr">
        <is>
          <t>Critical</t>
        </is>
      </c>
      <c r="J3" s="4" t="inlineStr">
        <is>
          <t>API ทำงาน; มี CSRF token</t>
        </is>
      </c>
      <c r="K3" s="4" t="inlineStr">
        <is>
          <t>POST /api/v1/auth/login body credential ผิด พร้อม CSRF header</t>
        </is>
      </c>
      <c r="L3" s="4" t="inlineStr">
        <is>
          <t>{ "username":"admin", "password":"xxx" }</t>
        </is>
      </c>
      <c r="M3" s="4" t="inlineStr">
        <is>
          <t>inline</t>
        </is>
      </c>
      <c r="N3" s="4" t="inlineStr">
        <is>
          <t>401; ProblemDetails code=AUTH_INVALID_CREDENTIALS ข้อความทั่วไป ไม่ระบุว่า user มีจริงหรือไม่</t>
        </is>
      </c>
      <c r="O3" s="4" t="inlineStr">
        <is>
          <t>EX-01/04</t>
        </is>
      </c>
      <c r="P3" s="4" t="inlineStr">
        <is>
          <t>.aidlc/specs/svm/design/api-spec.md:Auth</t>
        </is>
      </c>
      <c r="Q3" s="4" t="inlineStr">
        <is>
          <t>Doc</t>
        </is>
      </c>
      <c r="R3" s="21" t="inlineStr">
        <is>
          <t>Not Run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4" t="inlineStr">
        <is>
          <t>-</t>
        </is>
      </c>
      <c r="X3" s="4" t="inlineStr">
        <is>
          <t>-</t>
        </is>
      </c>
      <c r="Y3" s="17" t="inlineStr"/>
      <c r="Z3" s="4" t="inlineStr">
        <is>
          <t>-</t>
        </is>
      </c>
      <c r="AA3" s="4" t="inlineStr">
        <is>
          <t>-</t>
        </is>
      </c>
    </row>
    <row r="4" ht="34" customHeight="1">
      <c r="A4" s="4" t="inlineStr">
        <is>
          <t>TC_007</t>
        </is>
      </c>
      <c r="B4" s="4" t="inlineStr">
        <is>
          <t>US-002</t>
        </is>
      </c>
      <c r="C4" s="4" t="inlineStr">
        <is>
          <t>Access Control (RBAC)</t>
        </is>
      </c>
      <c r="D4" s="4" t="inlineStr">
        <is>
          <t>API</t>
        </is>
      </c>
      <c r="E4" s="4" t="inlineStr">
        <is>
          <t>เรียก endpoint ที่ป้องกันโดยไม่มี token คืน 401</t>
        </is>
      </c>
      <c r="F4" s="4" t="inlineStr">
        <is>
          <t>Negative</t>
        </is>
      </c>
      <c r="G4" s="4" t="inlineStr">
        <is>
          <t>High</t>
        </is>
      </c>
      <c r="H4" s="4" t="inlineStr">
        <is>
          <t>High</t>
        </is>
      </c>
      <c r="I4" s="4" t="inlineStr">
        <is>
          <t>Critical</t>
        </is>
      </c>
      <c r="J4" s="4" t="inlineStr">
        <is>
          <t>API ทำงาน</t>
        </is>
      </c>
      <c r="K4" s="4" t="inlineStr">
        <is>
          <t>GET /api/v1/instances โดยไม่แนบ Authorization header</t>
        </is>
      </c>
      <c r="L4" s="4" t="inlineStr">
        <is>
          <t>(ไม่มี token)</t>
        </is>
      </c>
      <c r="M4" s="4" t="inlineStr">
        <is>
          <t>inline</t>
        </is>
      </c>
      <c r="N4" s="4" t="inlineStr">
        <is>
          <t>401 Unauthorized (ProblemDetails)</t>
        </is>
      </c>
      <c r="O4" s="4" t="inlineStr">
        <is>
          <t>NFR-11</t>
        </is>
      </c>
      <c r="P4" s="4" t="inlineStr">
        <is>
          <t>.aidlc/specs/svm/requirements.md:US-002</t>
        </is>
      </c>
      <c r="Q4" s="4" t="inlineStr">
        <is>
          <t>Doc</t>
        </is>
      </c>
      <c r="R4" s="21" t="inlineStr">
        <is>
          <t>Not Run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inlineStr">
        <is>
          <t>-</t>
        </is>
      </c>
      <c r="W4" s="4" t="inlineStr">
        <is>
          <t>-</t>
        </is>
      </c>
      <c r="X4" s="4" t="inlineStr">
        <is>
          <t>-</t>
        </is>
      </c>
      <c r="Y4" s="17" t="inlineStr"/>
      <c r="Z4" s="4" t="inlineStr">
        <is>
          <t>-</t>
        </is>
      </c>
      <c r="AA4" s="4" t="inlineStr">
        <is>
          <t>-</t>
        </is>
      </c>
    </row>
    <row r="5" ht="34" customHeight="1">
      <c r="A5" s="4" t="inlineStr">
        <is>
          <t>TC_008</t>
        </is>
      </c>
      <c r="B5" s="4" t="inlineStr">
        <is>
          <t>US-002</t>
        </is>
      </c>
      <c r="C5" s="4" t="inlineStr">
        <is>
          <t>Access Control (RBAC)</t>
        </is>
      </c>
      <c r="D5" s="4" t="inlineStr">
        <is>
          <t>API</t>
        </is>
      </c>
      <c r="E5" s="4" t="inlineStr">
        <is>
          <t>ผู้ใช้ไม่มีสิทธิ์เรียก endpoint ที่ต้องการ permission คืน 403</t>
        </is>
      </c>
      <c r="F5" s="4" t="inlineStr">
        <is>
          <t>Negative</t>
        </is>
      </c>
      <c r="G5" s="4" t="inlineStr">
        <is>
          <t>High</t>
        </is>
      </c>
      <c r="H5" s="4" t="inlineStr">
        <is>
          <t>High</t>
        </is>
      </c>
      <c r="I5" s="4" t="inlineStr">
        <is>
          <t>Critical</t>
        </is>
      </c>
      <c r="J5" s="4" t="inlineStr">
        <is>
          <t>login เป็น user ที่ไม่มี permission admin.*</t>
        </is>
      </c>
      <c r="K5" s="4" t="inlineStr">
        <is>
          <t>1. login เป็น officer1
2. GET /api/v1/admin/risk-weights</t>
        </is>
      </c>
      <c r="L5" s="4" t="inlineStr">
        <is>
          <t>officer1 token</t>
        </is>
      </c>
      <c r="M5" s="4" t="inlineStr">
        <is>
          <t>fixture</t>
        </is>
      </c>
      <c r="N5" s="4" t="inlineStr">
        <is>
          <t>403 Forbidden (ProblemDetails) และบันทึก audit</t>
        </is>
      </c>
      <c r="O5" s="4" t="inlineStr">
        <is>
          <t>EX-06</t>
        </is>
      </c>
      <c r="P5" s="4" t="inlineStr">
        <is>
          <t>.aidlc/specs/svm/requirements.md:US-002</t>
        </is>
      </c>
      <c r="Q5" s="4" t="inlineStr">
        <is>
          <t>Doc</t>
        </is>
      </c>
      <c r="R5" s="21" t="inlineStr">
        <is>
          <t>Not Run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inlineStr">
        <is>
          <t>-</t>
        </is>
      </c>
      <c r="W5" s="4" t="inlineStr">
        <is>
          <t>-</t>
        </is>
      </c>
      <c r="X5" s="4" t="inlineStr">
        <is>
          <t>-</t>
        </is>
      </c>
      <c r="Y5" s="17" t="inlineStr"/>
      <c r="Z5" s="4" t="inlineStr">
        <is>
          <t>-</t>
        </is>
      </c>
      <c r="AA5" s="4" t="inlineStr">
        <is>
          <t>-</t>
        </is>
      </c>
    </row>
    <row r="6" ht="49" customHeight="1">
      <c r="A6" s="4" t="inlineStr">
        <is>
          <t>TC_009</t>
        </is>
      </c>
      <c r="B6" s="4" t="inlineStr">
        <is>
          <t>US-003</t>
        </is>
      </c>
      <c r="C6" s="4" t="inlineStr">
        <is>
          <t>Access Control (Data Segregation)</t>
        </is>
      </c>
      <c r="D6" s="4" t="inlineStr">
        <is>
          <t>API</t>
        </is>
      </c>
      <c r="E6" s="4" t="inlineStr">
        <is>
          <t>list asset ถูก filter ตาม data scope ของผู้ใช้</t>
        </is>
      </c>
      <c r="F6" s="4" t="inlineStr">
        <is>
          <t>Positive</t>
        </is>
      </c>
      <c r="G6" s="4" t="inlineStr">
        <is>
          <t>High</t>
        </is>
      </c>
      <c r="H6" s="4" t="inlineStr">
        <is>
          <t>High</t>
        </is>
      </c>
      <c r="I6" s="4" t="inlineStr">
        <is>
          <t>High</t>
        </is>
      </c>
      <c r="J6" s="4" t="inlineStr">
        <is>
          <t>login เป็น user ที่มี scope จำกัด</t>
        </is>
      </c>
      <c r="K6" s="4" t="inlineStr">
        <is>
          <t>GET /api/v1/assets พร้อม token ของ user</t>
        </is>
      </c>
      <c r="L6" s="4" t="inlineStr">
        <is>
          <t>scoped user token</t>
        </is>
      </c>
      <c r="M6" s="4" t="inlineStr">
        <is>
          <t>fixture</t>
        </is>
      </c>
      <c r="N6" s="4" t="inlineStr">
        <is>
          <t>200; items มีเฉพาะ asset ใน business unit/scope ของผู้ใช้</t>
        </is>
      </c>
      <c r="O6" s="4" t="inlineStr">
        <is>
          <t>FR-63/BR-30</t>
        </is>
      </c>
      <c r="P6" s="4" t="inlineStr">
        <is>
          <t>.aidlc/specs/svm/requirements.md:US-003</t>
        </is>
      </c>
      <c r="Q6" s="4" t="inlineStr">
        <is>
          <t>Doc</t>
        </is>
      </c>
      <c r="R6" s="21" t="inlineStr">
        <is>
          <t>Not Run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17" t="inlineStr"/>
      <c r="Z6" s="4" t="inlineStr">
        <is>
          <t>-</t>
        </is>
      </c>
      <c r="AA6" s="4" t="inlineStr">
        <is>
          <t>-</t>
        </is>
      </c>
    </row>
    <row r="7" ht="49" customHeight="1">
      <c r="A7" s="4" t="inlineStr">
        <is>
          <t>TC_012</t>
        </is>
      </c>
      <c r="B7" s="4" t="inlineStr">
        <is>
          <t>US-007</t>
        </is>
      </c>
      <c r="C7" s="4" t="inlineStr">
        <is>
          <t>Vulnerability Intake</t>
        </is>
      </c>
      <c r="D7" s="4" t="inlineStr">
        <is>
          <t>API</t>
        </is>
      </c>
      <c r="E7" s="4" t="inlineStr">
        <is>
          <t>POST /findings/import ไฟล์ผิด format ถูกปฏิเสธ</t>
        </is>
      </c>
      <c r="F7" s="4" t="inlineStr">
        <is>
          <t>Negative</t>
        </is>
      </c>
      <c r="G7" s="4" t="inlineStr">
        <is>
          <t>High</t>
        </is>
      </c>
      <c r="H7" s="4" t="inlineStr">
        <is>
          <t>High</t>
        </is>
      </c>
      <c r="I7" s="4" t="inlineStr">
        <is>
          <t>High</t>
        </is>
      </c>
      <c r="J7" s="4" t="inlineStr">
        <is>
          <t>login มี permission finding.import</t>
        </is>
      </c>
      <c r="K7" s="4" t="inlineStr">
        <is>
          <t>POST /api/v1/findings/import ด้วยไฟล์ที่ไม่ใช่ format ที่รองรับ/ว่าง</t>
        </is>
      </c>
      <c r="L7" s="4" t="inlineStr">
        <is>
          <t>invalid.txt (empty)</t>
        </is>
      </c>
      <c r="M7" s="4" t="inlineStr">
        <is>
          <t>inline</t>
        </is>
      </c>
      <c r="N7" s="4" t="inlineStr">
        <is>
          <t>ปฏิเสธพร้อมข้อความระบุสาเหตุ (EX-11/12/13); ไม่สร้างข้อมูลบางส่วนที่ไม่ครบ</t>
        </is>
      </c>
      <c r="O7" s="4" t="inlineStr">
        <is>
          <t>EX-11/12/13</t>
        </is>
      </c>
      <c r="P7" s="4" t="inlineStr">
        <is>
          <t>.aidlc/specs/svm/design/api-spec.md:Findings — Intake</t>
        </is>
      </c>
      <c r="Q7" s="4" t="inlineStr">
        <is>
          <t>Doc</t>
        </is>
      </c>
      <c r="R7" s="21" t="inlineStr">
        <is>
          <t>Not Run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17" t="inlineStr"/>
      <c r="Z7" s="4" t="inlineStr">
        <is>
          <t>-</t>
        </is>
      </c>
      <c r="AA7" s="4" t="inlineStr">
        <is>
          <t>-</t>
        </is>
      </c>
    </row>
    <row r="8" ht="34" customHeight="1">
      <c r="A8" s="4" t="inlineStr">
        <is>
          <t>TC_013</t>
        </is>
      </c>
      <c r="B8" s="4" t="inlineStr">
        <is>
          <t>US-008</t>
        </is>
      </c>
      <c r="C8" s="4" t="inlineStr">
        <is>
          <t>Vulnerability Intake</t>
        </is>
      </c>
      <c r="D8" s="4" t="inlineStr">
        <is>
          <t>API</t>
        </is>
      </c>
      <c r="E8" s="4" t="inlineStr">
        <is>
          <t>POST /findings/manual ขาด mandatory field ถูกปฏิเสธ</t>
        </is>
      </c>
      <c r="F8" s="4" t="inlineStr">
        <is>
          <t>Negative</t>
        </is>
      </c>
      <c r="G8" s="4" t="inlineStr">
        <is>
          <t>High</t>
        </is>
      </c>
      <c r="H8" s="4" t="inlineStr">
        <is>
          <t>High</t>
        </is>
      </c>
      <c r="I8" s="4" t="inlineStr">
        <is>
          <t>High</t>
        </is>
      </c>
      <c r="J8" s="4" t="inlineStr">
        <is>
          <t>login มี permission finding.create</t>
        </is>
      </c>
      <c r="K8" s="4" t="inlineStr">
        <is>
          <t>POST /api/v1/findings/manual body ขาด severity/asset</t>
        </is>
      </c>
      <c r="L8" s="4" t="inlineStr">
        <is>
          <t>{ "findingName":"x" }</t>
        </is>
      </c>
      <c r="M8" s="4" t="inlineStr">
        <is>
          <t>inline</t>
        </is>
      </c>
      <c r="N8" s="4" t="inlineStr">
        <is>
          <t>400/422 ระบุ field ที่ขาด (EX-15); ไม่สร้าง finding</t>
        </is>
      </c>
      <c r="O8" s="4" t="inlineStr">
        <is>
          <t>EX-15</t>
        </is>
      </c>
      <c r="P8" s="4" t="inlineStr">
        <is>
          <t>.aidlc/specs/svm/requirements.md:US-008</t>
        </is>
      </c>
      <c r="Q8" s="4" t="inlineStr">
        <is>
          <t>Doc</t>
        </is>
      </c>
      <c r="R8" s="21" t="inlineStr">
        <is>
          <t>Not Run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17" t="inlineStr"/>
      <c r="Z8" s="4" t="inlineStr">
        <is>
          <t>-</t>
        </is>
      </c>
      <c r="AA8" s="4" t="inlineStr">
        <is>
          <t>-</t>
        </is>
      </c>
    </row>
    <row r="9" ht="34" customHeight="1">
      <c r="A9" s="4" t="inlineStr">
        <is>
          <t>TC_016</t>
        </is>
      </c>
      <c r="B9" s="4" t="inlineStr">
        <is>
          <t>US-015</t>
        </is>
      </c>
      <c r="C9" s="4" t="inlineStr">
        <is>
          <t>Risk Scoring</t>
        </is>
      </c>
      <c r="D9" s="4" t="inlineStr">
        <is>
          <t>API</t>
        </is>
      </c>
      <c r="E9" s="4" t="inlineStr">
        <is>
          <t>PUT /admin/risk-weights ด้วย weight รวมผิด/ติดลบ คืน 422</t>
        </is>
      </c>
      <c r="F9" s="4" t="inlineStr">
        <is>
          <t>Negative</t>
        </is>
      </c>
      <c r="G9" s="4" t="inlineStr">
        <is>
          <t>High</t>
        </is>
      </c>
      <c r="H9" s="4" t="inlineStr">
        <is>
          <t>High</t>
        </is>
      </c>
      <c r="I9" s="4" t="inlineStr">
        <is>
          <t>Critical</t>
        </is>
      </c>
      <c r="J9" s="4" t="inlineStr">
        <is>
          <t>login มี permission admin.risk</t>
        </is>
      </c>
      <c r="K9" s="4" t="inlineStr">
        <is>
          <t>PUT /api/v1/admin/risk-weights ด้วย weight ที่ผลรวมผิดหรือมีค่าติดลบ</t>
        </is>
      </c>
      <c r="L9" s="4" t="inlineStr">
        <is>
          <t>weights ที่ invalid</t>
        </is>
      </c>
      <c r="M9" s="4" t="inlineStr">
        <is>
          <t>inline</t>
        </is>
      </c>
      <c r="N9" s="4" t="inlineStr">
        <is>
          <t>422 INVALID_RISK_WEIGHT ปฏิเสธ configuration</t>
        </is>
      </c>
      <c r="O9" s="4" t="inlineStr">
        <is>
          <t>EX-54</t>
        </is>
      </c>
      <c r="P9" s="4" t="inlineStr">
        <is>
          <t>.aidlc/specs/svm/design/api-spec.md:Administration</t>
        </is>
      </c>
      <c r="Q9" s="4" t="inlineStr">
        <is>
          <t>Doc</t>
        </is>
      </c>
      <c r="R9" s="21" t="inlineStr">
        <is>
          <t>Not Run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17" t="inlineStr"/>
      <c r="Z9" s="4" t="inlineStr">
        <is>
          <t>-</t>
        </is>
      </c>
      <c r="AA9" s="4" t="inlineStr">
        <is>
          <t>-</t>
        </is>
      </c>
    </row>
    <row r="10" ht="49" customHeight="1">
      <c r="A10" s="4" t="inlineStr">
        <is>
          <t>TC_018</t>
        </is>
      </c>
      <c r="B10" s="4" t="inlineStr">
        <is>
          <t>US-019</t>
        </is>
      </c>
      <c r="C10" s="4" t="inlineStr">
        <is>
          <t>Workflow</t>
        </is>
      </c>
      <c r="D10" s="4" t="inlineStr">
        <is>
          <t>API</t>
        </is>
      </c>
      <c r="E10" s="4" t="inlineStr">
        <is>
          <t>POST /instances/{id}/transition ที่ไม่อยู่ใน workflow คืน 422</t>
        </is>
      </c>
      <c r="F10" s="4" t="inlineStr">
        <is>
          <t>Negative</t>
        </is>
      </c>
      <c r="G10" s="4" t="inlineStr">
        <is>
          <t>High</t>
        </is>
      </c>
      <c r="H10" s="4" t="inlineStr">
        <is>
          <t>High</t>
        </is>
      </c>
      <c r="I10" s="4" t="inlineStr">
        <is>
          <t>Critical</t>
        </is>
      </c>
      <c r="J10" s="4" t="inlineStr">
        <is>
          <t>มี instance สถานะ New; login มี permission instance.transition</t>
        </is>
      </c>
      <c r="K10" s="4" t="inlineStr">
        <is>
          <t>POST /api/v1/instances/{id}/transition body { toStatus:'Closed' } จากสถานะ New</t>
        </is>
      </c>
      <c r="L10" s="4" t="inlineStr">
        <is>
          <t>{ "toStatus":"Closed", "rowVersion":"..." }</t>
        </is>
      </c>
      <c r="M10" s="4" t="inlineStr">
        <is>
          <t>inline</t>
        </is>
      </c>
      <c r="N10" s="4" t="inlineStr">
        <is>
          <t>422 WORKFLOW_INVALID_TRANSITION พร้อมเหตุผล</t>
        </is>
      </c>
      <c r="O10" s="4" t="inlineStr">
        <is>
          <t>EX-55</t>
        </is>
      </c>
      <c r="P10" s="4" t="inlineStr">
        <is>
          <t>.aidlc/specs/svm/design/api-spec.md:Vulnerability Instances</t>
        </is>
      </c>
      <c r="Q10" s="4" t="inlineStr">
        <is>
          <t>Doc</t>
        </is>
      </c>
      <c r="R10" s="21" t="inlineStr">
        <is>
          <t>Not Run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17" t="inlineStr"/>
      <c r="Z10" s="4" t="inlineStr">
        <is>
          <t>-</t>
        </is>
      </c>
      <c r="AA10" s="4" t="inlineStr">
        <is>
          <t>-</t>
        </is>
      </c>
    </row>
    <row r="11" ht="49" customHeight="1">
      <c r="A11" s="4" t="inlineStr">
        <is>
          <t>TC_019</t>
        </is>
      </c>
      <c r="B11" s="4" t="inlineStr">
        <is>
          <t>US-020</t>
        </is>
      </c>
      <c r="C11" s="4" t="inlineStr">
        <is>
          <t>Assignment &amp; Remediation</t>
        </is>
      </c>
      <c r="D11" s="4" t="inlineStr">
        <is>
          <t>API</t>
        </is>
      </c>
      <c r="E11" s="4" t="inlineStr">
        <is>
          <t>POST /instances/bulk-assign ข้ามรายการที่นอก scope</t>
        </is>
      </c>
      <c r="F11" s="4" t="inlineStr">
        <is>
          <t>Negative</t>
        </is>
      </c>
      <c r="G11" s="4" t="inlineStr">
        <is>
          <t>Medium</t>
        </is>
      </c>
      <c r="H11" s="4" t="inlineStr">
        <is>
          <t>Medium</t>
        </is>
      </c>
      <c r="I11" s="4" t="inlineStr">
        <is>
          <t>High</t>
        </is>
      </c>
      <c r="J11" s="4" t="inlineStr">
        <is>
          <t>login มี permission instance.assign</t>
        </is>
      </c>
      <c r="K11" s="4" t="inlineStr">
        <is>
          <t>POST /api/v1/instances/bulk-assign กับ instance ที่บางรายการอยู่นอก scope</t>
        </is>
      </c>
      <c r="L11" s="4" t="inlineStr">
        <is>
          <t>{ "instanceIds":[...], "assignToUserId":"..." }</t>
        </is>
      </c>
      <c r="M11" s="4" t="inlineStr">
        <is>
          <t>inline</t>
        </is>
      </c>
      <c r="N11" s="4" t="inlineStr">
        <is>
          <t>200 assigned[] + skipped[] ที่มี reason OUT_OF_SCOPE</t>
        </is>
      </c>
      <c r="O11" s="4" t="inlineStr">
        <is>
          <t>EX-61</t>
        </is>
      </c>
      <c r="P11" s="4" t="inlineStr">
        <is>
          <t>.aidlc/specs/svm/design/api-spec.md:Assignment &amp; Remediation</t>
        </is>
      </c>
      <c r="Q11" s="4" t="inlineStr">
        <is>
          <t>Doc</t>
        </is>
      </c>
      <c r="R11" s="21" t="inlineStr">
        <is>
          <t>Not Run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17" t="inlineStr"/>
      <c r="Z11" s="4" t="inlineStr">
        <is>
          <t>-</t>
        </is>
      </c>
      <c r="AA11" s="4" t="inlineStr">
        <is>
          <t>-</t>
        </is>
      </c>
    </row>
    <row r="12" ht="49" customHeight="1">
      <c r="A12" s="4" t="inlineStr">
        <is>
          <t>TC_020</t>
        </is>
      </c>
      <c r="B12" s="4" t="inlineStr">
        <is>
          <t>US-022</t>
        </is>
      </c>
      <c r="C12" s="4" t="inlineStr">
        <is>
          <t>Assignment &amp; Remediation</t>
        </is>
      </c>
      <c r="D12" s="4" t="inlineStr">
        <is>
          <t>API</t>
        </is>
      </c>
      <c r="E12" s="4" t="inlineStr">
        <is>
          <t>POST /instances/{id}/evidence ไฟล์ติด malware ถูกปฏิเสธ</t>
        </is>
      </c>
      <c r="F12" s="4" t="inlineStr">
        <is>
          <t>Negative</t>
        </is>
      </c>
      <c r="G12" s="4" t="inlineStr">
        <is>
          <t>High</t>
        </is>
      </c>
      <c r="H12" s="4" t="inlineStr">
        <is>
          <t>High</t>
        </is>
      </c>
      <c r="I12" s="4" t="inlineStr">
        <is>
          <t>High</t>
        </is>
      </c>
      <c r="J12" s="4" t="inlineStr">
        <is>
          <t>login มี permission evidence.upload; malware scanner mock</t>
        </is>
      </c>
      <c r="K12" s="4" t="inlineStr">
        <is>
          <t>POST /api/v1/instances/{id}/evidence อัปโหลดไฟล์ที่ mock ตรวจเป็น malware</t>
        </is>
      </c>
      <c r="L12" s="4" t="inlineStr">
        <is>
          <t>evidence_malware.bin</t>
        </is>
      </c>
      <c r="M12" s="4" t="inlineStr">
        <is>
          <t>fixture</t>
        </is>
      </c>
      <c r="N12" s="4" t="inlineStr">
        <is>
          <t>422 EVIDENCE_MALWARE ปฏิเสธและบันทึก</t>
        </is>
      </c>
      <c r="O12" s="4" t="inlineStr">
        <is>
          <t>EX-21</t>
        </is>
      </c>
      <c r="P12" s="4" t="inlineStr">
        <is>
          <t>.aidlc/specs/svm/design/api-spec.md:Assignment &amp; Remediation</t>
        </is>
      </c>
      <c r="Q12" s="4" t="inlineStr">
        <is>
          <t>Doc</t>
        </is>
      </c>
      <c r="R12" s="21" t="inlineStr">
        <is>
          <t>Not Run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17" t="inlineStr"/>
      <c r="Z12" s="4" t="inlineStr">
        <is>
          <t>-</t>
        </is>
      </c>
      <c r="AA12" s="4" t="inlineStr">
        <is>
          <t>-</t>
        </is>
      </c>
    </row>
    <row r="13" ht="49" customHeight="1">
      <c r="A13" s="4" t="inlineStr">
        <is>
          <t>TC_022</t>
        </is>
      </c>
      <c r="B13" s="4" t="inlineStr">
        <is>
          <t>US-025</t>
        </is>
      </c>
      <c r="C13" s="4" t="inlineStr">
        <is>
          <t>SLA</t>
        </is>
      </c>
      <c r="D13" s="4" t="inlineStr">
        <is>
          <t>API</t>
        </is>
      </c>
      <c r="E13" s="4" t="inlineStr">
        <is>
          <t>GET /instances/{id}/sla คืน timer + due dates + breach status</t>
        </is>
      </c>
      <c r="F13" s="4" t="inlineStr">
        <is>
          <t>Positive</t>
        </is>
      </c>
      <c r="G13" s="4" t="inlineStr">
        <is>
          <t>Medium</t>
        </is>
      </c>
      <c r="H13" s="4" t="inlineStr">
        <is>
          <t>Medium</t>
        </is>
      </c>
      <c r="I13" s="4" t="inlineStr">
        <is>
          <t>Medium</t>
        </is>
      </c>
      <c r="J13" s="4" t="inlineStr">
        <is>
          <t>มี instance ที่มี risk level; login มี permission instance.read</t>
        </is>
      </c>
      <c r="K13" s="4" t="inlineStr">
        <is>
          <t>GET /api/v1/instances/{id}/sla</t>
        </is>
      </c>
      <c r="L13" s="4" t="inlineStr">
        <is>
          <t>instance id</t>
        </is>
      </c>
      <c r="M13" s="4" t="inlineStr">
        <is>
          <t>fixture</t>
        </is>
      </c>
      <c r="N13" s="4" t="inlineStr">
        <is>
          <t>200; แสดง acknowledgement/remediation/resolution due + เวลาคงเหลือ + สถานะ breach</t>
        </is>
      </c>
      <c r="O13" s="4" t="inlineStr">
        <is>
          <t>FR-36</t>
        </is>
      </c>
      <c r="P13" s="4" t="inlineStr">
        <is>
          <t>.aidlc/specs/svm/design/api-spec.md:SLA</t>
        </is>
      </c>
      <c r="Q13" s="4" t="inlineStr">
        <is>
          <t>Doc</t>
        </is>
      </c>
      <c r="R13" s="21" t="inlineStr">
        <is>
          <t>Not Run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17" t="inlineStr"/>
      <c r="Z13" s="4" t="inlineStr">
        <is>
          <t>-</t>
        </is>
      </c>
      <c r="AA13" s="4" t="inlineStr">
        <is>
          <t>-</t>
        </is>
      </c>
    </row>
    <row r="14" ht="49" customHeight="1">
      <c r="A14" s="4" t="inlineStr">
        <is>
          <t>TC_023</t>
        </is>
      </c>
      <c r="B14" s="4" t="inlineStr">
        <is>
          <t>US-028</t>
        </is>
      </c>
      <c r="C14" s="4" t="inlineStr">
        <is>
          <t>Verification &amp; Closure</t>
        </is>
      </c>
      <c r="D14" s="4" t="inlineStr">
        <is>
          <t>API</t>
        </is>
      </c>
      <c r="E14" s="4" t="inlineStr">
        <is>
          <t>Critical finding ปิดโดยไม่มี independent verifier ถูกปฏิเสธ</t>
        </is>
      </c>
      <c r="F14" s="4" t="inlineStr">
        <is>
          <t>Negative</t>
        </is>
      </c>
      <c r="G14" s="4" t="inlineStr">
        <is>
          <t>High</t>
        </is>
      </c>
      <c r="H14" s="4" t="inlineStr">
        <is>
          <t>High</t>
        </is>
      </c>
      <c r="I14" s="4" t="inlineStr">
        <is>
          <t>High</t>
        </is>
      </c>
      <c r="J14" s="4" t="inlineStr">
        <is>
          <t>instance Critical; ผู้ verify = ผู้แก้ไข</t>
        </is>
      </c>
      <c r="K14" s="4" t="inlineStr">
        <is>
          <t>POST /api/v1/instances/{id}/verification body { result:'Verified' } โดยผู้แก้ไขเอง</t>
        </is>
      </c>
      <c r="L14" s="4" t="inlineStr">
        <is>
          <t>{ "result":"Verified", "method":"Rescan" }</t>
        </is>
      </c>
      <c r="M14" s="4" t="inlineStr">
        <is>
          <t>inline</t>
        </is>
      </c>
      <c r="N14" s="4" t="inlineStr">
        <is>
          <t>422 INDEPENDENT_VERIFICATION_REQUIRED (BR-16)</t>
        </is>
      </c>
      <c r="O14" s="4" t="inlineStr">
        <is>
          <t>EX-80/BR-16</t>
        </is>
      </c>
      <c r="P14" s="4" t="inlineStr">
        <is>
          <t>.aidlc/specs/svm/design/api-spec.md:Verification &amp; Closure</t>
        </is>
      </c>
      <c r="Q14" s="4" t="inlineStr">
        <is>
          <t>Doc</t>
        </is>
      </c>
      <c r="R14" s="21" t="inlineStr">
        <is>
          <t>Not Run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17" t="inlineStr"/>
      <c r="Z14" s="4" t="inlineStr">
        <is>
          <t>-</t>
        </is>
      </c>
      <c r="AA14" s="4" t="inlineStr">
        <is>
          <t>-</t>
        </is>
      </c>
    </row>
    <row r="15" ht="49" customHeight="1">
      <c r="A15" s="4" t="inlineStr">
        <is>
          <t>TC_026</t>
        </is>
      </c>
      <c r="B15" s="4" t="inlineStr">
        <is>
          <t>US-032</t>
        </is>
      </c>
      <c r="C15" s="4" t="inlineStr">
        <is>
          <t>Audit Trail</t>
        </is>
      </c>
      <c r="D15" s="4" t="inlineStr">
        <is>
          <t>API</t>
        </is>
      </c>
      <c r="E15" s="4" t="inlineStr">
        <is>
          <t>GET /audit โดย auditor คืนรายการ audit (scoped)</t>
        </is>
      </c>
      <c r="F15" s="4" t="inlineStr">
        <is>
          <t>Positive</t>
        </is>
      </c>
      <c r="G15" s="4" t="inlineStr">
        <is>
          <t>High</t>
        </is>
      </c>
      <c r="H15" s="4" t="inlineStr">
        <is>
          <t>High</t>
        </is>
      </c>
      <c r="I15" s="4" t="inlineStr">
        <is>
          <t>Critical</t>
        </is>
      </c>
      <c r="J15" s="4" t="inlineStr">
        <is>
          <t>login เป็น user ที่มี permission audit.read</t>
        </is>
      </c>
      <c r="K15" s="4" t="inlineStr">
        <is>
          <t>GET /api/v1/audit?object=...&amp;action=...</t>
        </is>
      </c>
      <c r="L15" s="4" t="inlineStr">
        <is>
          <t>auditor token</t>
        </is>
      </c>
      <c r="M15" s="4" t="inlineStr">
        <is>
          <t>fixture</t>
        </is>
      </c>
      <c r="N15" s="4" t="inlineStr">
        <is>
          <t>200; รายการ audit มี user/time/action/object/before/after/result; การ export ถูกบันทึกเพิ่ม</t>
        </is>
      </c>
      <c r="O15" s="4" t="inlineStr">
        <is>
          <t>FR-68/NFR-20</t>
        </is>
      </c>
      <c r="P15" s="4" t="inlineStr">
        <is>
          <t>.aidlc/specs/svm/requirements.md:US-032</t>
        </is>
      </c>
      <c r="Q15" s="4" t="inlineStr">
        <is>
          <t>Doc</t>
        </is>
      </c>
      <c r="R15" s="21" t="inlineStr">
        <is>
          <t>Not Run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17" t="inlineStr"/>
      <c r="Z15" s="4" t="inlineStr">
        <is>
          <t>-</t>
        </is>
      </c>
      <c r="AA15" s="4" t="inlineStr">
        <is>
          <t>-</t>
        </is>
      </c>
    </row>
    <row r="16" ht="34" customHeight="1">
      <c r="A16" s="4" t="inlineStr">
        <is>
          <t>TC_027</t>
        </is>
      </c>
      <c r="B16" s="4" t="inlineStr">
        <is>
          <t>US-032</t>
        </is>
      </c>
      <c r="C16" s="4" t="inlineStr">
        <is>
          <t>Audit Trail</t>
        </is>
      </c>
      <c r="D16" s="4" t="inlineStr">
        <is>
          <t>API</t>
        </is>
      </c>
      <c r="E16" s="4" t="inlineStr">
        <is>
          <t>ผู้ไม่มีสิทธิ์เรียก GET /audit คืน 403</t>
        </is>
      </c>
      <c r="F16" s="4" t="inlineStr">
        <is>
          <t>Negative</t>
        </is>
      </c>
      <c r="G16" s="4" t="inlineStr">
        <is>
          <t>High</t>
        </is>
      </c>
      <c r="H16" s="4" t="inlineStr">
        <is>
          <t>High</t>
        </is>
      </c>
      <c r="I16" s="4" t="inlineStr">
        <is>
          <t>Critical</t>
        </is>
      </c>
      <c r="J16" s="4" t="inlineStr">
        <is>
          <t>login เป็น user ที่ไม่มี permission audit.read</t>
        </is>
      </c>
      <c r="K16" s="4" t="inlineStr">
        <is>
          <t>GET /api/v1/audit ด้วย token ที่ไม่มีสิทธิ์</t>
        </is>
      </c>
      <c r="L16" s="4" t="inlineStr">
        <is>
          <t>officer1 token</t>
        </is>
      </c>
      <c r="M16" s="4" t="inlineStr">
        <is>
          <t>fixture</t>
        </is>
      </c>
      <c r="N16" s="4" t="inlineStr">
        <is>
          <t>403 Forbidden (ProblemDetails)</t>
        </is>
      </c>
      <c r="O16" s="4" t="inlineStr">
        <is>
          <t>NFR-21</t>
        </is>
      </c>
      <c r="P16" s="4" t="inlineStr">
        <is>
          <t>.aidlc/specs/svm/requirements.md:US-032</t>
        </is>
      </c>
      <c r="Q16" s="4" t="inlineStr">
        <is>
          <t>Doc</t>
        </is>
      </c>
      <c r="R16" s="21" t="inlineStr">
        <is>
          <t>Not Run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17" t="inlineStr"/>
      <c r="Z16" s="4" t="inlineStr">
        <is>
          <t>-</t>
        </is>
      </c>
      <c r="AA16" s="4" t="inlineStr">
        <is>
          <t>-</t>
        </is>
      </c>
    </row>
  </sheetData>
  <autoFilter ref="A1:AA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498DB"/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38" customWidth="1" min="5" max="5"/>
    <col width="12" customWidth="1" min="6" max="6"/>
    <col width="10" customWidth="1" min="7" max="7"/>
    <col width="10" customWidth="1" min="8" max="8"/>
    <col width="12" customWidth="1" min="9" max="9"/>
    <col width="28" customWidth="1" min="10" max="10"/>
    <col width="40" customWidth="1" min="11" max="11"/>
    <col width="24" customWidth="1" min="12" max="12"/>
    <col width="14" customWidth="1" min="13" max="13"/>
    <col width="34" customWidth="1" min="14" max="14"/>
    <col width="10" customWidth="1" min="15" max="15"/>
    <col width="26" customWidth="1" min="16" max="16"/>
    <col width="12" customWidth="1" min="17" max="17"/>
    <col width="11" customWidth="1" min="18" max="18"/>
    <col width="30" customWidth="1" min="19" max="19"/>
    <col width="14" customWidth="1" min="20" max="20"/>
    <col width="22" customWidth="1" min="21" max="21"/>
    <col width="14" customWidth="1" min="22" max="22"/>
    <col width="12" customWidth="1" min="23" max="23"/>
    <col width="30" customWidth="1" min="24" max="24"/>
    <col width="26" customWidth="1" min="26" max="26"/>
    <col width="24" customWidth="1" min="27" max="27"/>
  </cols>
  <sheetData>
    <row r="1" ht="24" customHeight="1">
      <c r="A1" s="2" t="inlineStr">
        <is>
          <t>id</t>
        </is>
      </c>
      <c r="B1" s="2" t="inlineStr">
        <is>
          <t>user_story_id</t>
        </is>
      </c>
      <c r="C1" s="2" t="inlineStr">
        <is>
          <t>module</t>
        </is>
      </c>
      <c r="D1" s="2" t="inlineStr">
        <is>
          <t>qa_layer</t>
        </is>
      </c>
      <c r="E1" s="2" t="inlineStr">
        <is>
          <t>scenario</t>
        </is>
      </c>
      <c r="F1" s="2" t="inlineStr">
        <is>
          <t>category</t>
        </is>
      </c>
      <c r="G1" s="2" t="inlineStr">
        <is>
          <t>priority</t>
        </is>
      </c>
      <c r="H1" s="2" t="inlineStr">
        <is>
          <t>severity</t>
        </is>
      </c>
      <c r="I1" s="2" t="inlineStr">
        <is>
          <t>risk_level</t>
        </is>
      </c>
      <c r="J1" s="2" t="inlineStr">
        <is>
          <t>preconditions</t>
        </is>
      </c>
      <c r="K1" s="2" t="inlineStr">
        <is>
          <t>steps</t>
        </is>
      </c>
      <c r="L1" s="2" t="inlineStr">
        <is>
          <t>test_data</t>
        </is>
      </c>
      <c r="M1" s="2" t="inlineStr">
        <is>
          <t>test_data_source</t>
        </is>
      </c>
      <c r="N1" s="2" t="inlineStr">
        <is>
          <t>expected</t>
        </is>
      </c>
      <c r="O1" s="2" t="inlineStr">
        <is>
          <t>rule_id</t>
        </is>
      </c>
      <c r="P1" s="2" t="inlineStr">
        <is>
          <t>source_reference</t>
        </is>
      </c>
      <c r="Q1" s="2" t="inlineStr">
        <is>
          <t>source_origin</t>
        </is>
      </c>
      <c r="R1" s="2" t="inlineStr">
        <is>
          <t>status</t>
        </is>
      </c>
      <c r="S1" s="2" t="inlineStr">
        <is>
          <t>actual</t>
        </is>
      </c>
      <c r="T1" s="2" t="inlineStr">
        <is>
          <t>executed_by</t>
        </is>
      </c>
      <c r="U1" s="2" t="inlineStr">
        <is>
          <t>executed_at</t>
        </is>
      </c>
      <c r="V1" s="2" t="inlineStr">
        <is>
          <t>environment</t>
        </is>
      </c>
      <c r="W1" s="2" t="inlineStr">
        <is>
          <t>defect_id</t>
        </is>
      </c>
      <c r="X1" s="2" t="inlineStr">
        <is>
          <t>notes</t>
        </is>
      </c>
      <c r="Y1" s="2" t="inlineStr">
        <is>
          <t>screenshot</t>
        </is>
      </c>
      <c r="Z1" s="2" t="inlineStr">
        <is>
          <t>screenshot_path</t>
        </is>
      </c>
      <c r="AA1" s="2" t="inlineStr">
        <is>
          <t>video_path</t>
        </is>
      </c>
    </row>
    <row r="2" ht="34" customHeight="1">
      <c r="A2" s="4" t="inlineStr">
        <is>
          <t>TC_014</t>
        </is>
      </c>
      <c r="B2" s="4" t="inlineStr">
        <is>
          <t>US-012</t>
        </is>
      </c>
      <c r="C2" s="4" t="inlineStr">
        <is>
          <t>Data Quality / Dedup</t>
        </is>
      </c>
      <c r="D2" s="4" t="inlineStr">
        <is>
          <t>Unit-Integration</t>
        </is>
      </c>
      <c r="E2" s="4" t="inlineStr">
        <is>
          <t>dedup key ถูกต้อง + idempotent re-import + ambiguous → NeedsReview queue</t>
        </is>
      </c>
      <c r="F2" s="4" t="inlineStr">
        <is>
          <t>Positive</t>
        </is>
      </c>
      <c r="G2" s="4" t="inlineStr">
        <is>
          <t>High</t>
        </is>
      </c>
      <c r="H2" s="4" t="inlineStr">
        <is>
          <t>High</t>
        </is>
      </c>
      <c r="I2" s="4" t="inlineStr">
        <is>
          <t>High</t>
        </is>
      </c>
      <c r="J2" s="4" t="inlineStr">
        <is>
          <t>โปรเจกต์ api test (xUnit) build ได้</t>
        </is>
      </c>
      <c r="K2" s="4" t="inlineStr">
        <is>
          <t>dotnet test --filter DataQuality (Intake)</t>
        </is>
      </c>
      <c r="L2" s="4" t="inlineStr">
        <is>
          <t>finding ซ้ำ asset+cve+location+port+component</t>
        </is>
      </c>
      <c r="M2" s="4" t="inlineStr">
        <is>
          <t>fixture</t>
        </is>
      </c>
      <c r="N2" s="4" t="inlineStr">
        <is>
          <t>dedup key ตรง, re-import ไม่สร้างซ้ำ, กรณีกำกวมเข้า queue (EX-45)</t>
        </is>
      </c>
      <c r="O2" s="4" t="inlineStr">
        <is>
          <t>FR-11/EX-45</t>
        </is>
      </c>
      <c r="P2" s="4" t="inlineStr">
        <is>
          <t>.aidlc/specs/svm/tasks.md:7.3</t>
        </is>
      </c>
      <c r="Q2" s="4" t="inlineStr">
        <is>
          <t>Code</t>
        </is>
      </c>
      <c r="R2" s="21" t="inlineStr">
        <is>
          <t>Not Run</t>
        </is>
      </c>
      <c r="S2" s="4" t="inlineStr">
        <is>
          <t>-</t>
        </is>
      </c>
      <c r="T2" s="4" t="inlineStr">
        <is>
          <t>-</t>
        </is>
      </c>
      <c r="U2" s="4" t="inlineStr">
        <is>
          <t>-</t>
        </is>
      </c>
      <c r="V2" s="4" t="inlineStr">
        <is>
          <t>-</t>
        </is>
      </c>
      <c r="W2" s="4" t="inlineStr">
        <is>
          <t>-</t>
        </is>
      </c>
      <c r="X2" s="4" t="inlineStr">
        <is>
          <t>-</t>
        </is>
      </c>
      <c r="Y2" s="17" t="inlineStr"/>
      <c r="Z2" s="4" t="inlineStr">
        <is>
          <t>-</t>
        </is>
      </c>
      <c r="AA2" s="4" t="inlineStr">
        <is>
          <t>-</t>
        </is>
      </c>
    </row>
    <row r="3" ht="34" customHeight="1">
      <c r="A3" s="4" t="inlineStr">
        <is>
          <t>TC_015</t>
        </is>
      </c>
      <c r="B3" s="4" t="inlineStr">
        <is>
          <t>US-015</t>
        </is>
      </c>
      <c r="C3" s="4" t="inlineStr">
        <is>
          <t>Risk Scoring</t>
        </is>
      </c>
      <c r="D3" s="4" t="inlineStr">
        <is>
          <t>Unit-Integration</t>
        </is>
      </c>
      <c r="E3" s="4" t="inlineStr">
        <is>
          <t>RiskScoringEngine: score ∈ [0,100], weight-sum ถูก, classify ตาม threshold</t>
        </is>
      </c>
      <c r="F3" s="4" t="inlineStr">
        <is>
          <t>Positive</t>
        </is>
      </c>
      <c r="G3" s="4" t="inlineStr">
        <is>
          <t>High</t>
        </is>
      </c>
      <c r="H3" s="4" t="inlineStr">
        <is>
          <t>High</t>
        </is>
      </c>
      <c r="I3" s="4" t="inlineStr">
        <is>
          <t>Critical</t>
        </is>
      </c>
      <c r="J3" s="4" t="inlineStr">
        <is>
          <t>xUnit build ได้</t>
        </is>
      </c>
      <c r="K3" s="4" t="inlineStr">
        <is>
          <t>dotnet test --filter Risk</t>
        </is>
      </c>
      <c r="L3" s="4" t="inlineStr">
        <is>
          <t>factors + weight ตาม config</t>
        </is>
      </c>
      <c r="M3" s="4" t="inlineStr">
        <is>
          <t>fixture</t>
        </is>
      </c>
      <c r="N3" s="4" t="inlineStr">
        <is>
          <t>invariant 0–100 ถือ, weighted-sum ถูกต้อง, classify ตาม threshold</t>
        </is>
      </c>
      <c r="O3" s="4" t="inlineStr">
        <is>
          <t>FR-16</t>
        </is>
      </c>
      <c r="P3" s="4" t="inlineStr">
        <is>
          <t>.aidlc/specs/svm/tasks.md:7.1</t>
        </is>
      </c>
      <c r="Q3" s="4" t="inlineStr">
        <is>
          <t>Code</t>
        </is>
      </c>
      <c r="R3" s="21" t="inlineStr">
        <is>
          <t>Not Run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4" t="inlineStr">
        <is>
          <t>-</t>
        </is>
      </c>
      <c r="X3" s="4" t="inlineStr">
        <is>
          <t>-</t>
        </is>
      </c>
      <c r="Y3" s="17" t="inlineStr"/>
      <c r="Z3" s="4" t="inlineStr">
        <is>
          <t>-</t>
        </is>
      </c>
      <c r="AA3" s="4" t="inlineStr">
        <is>
          <t>-</t>
        </is>
      </c>
    </row>
    <row r="4" ht="49" customHeight="1">
      <c r="A4" s="4" t="inlineStr">
        <is>
          <t>TC_017</t>
        </is>
      </c>
      <c r="B4" s="4" t="inlineStr">
        <is>
          <t>US-019</t>
        </is>
      </c>
      <c r="C4" s="4" t="inlineStr">
        <is>
          <t>Workflow</t>
        </is>
      </c>
      <c r="D4" s="4" t="inlineStr">
        <is>
          <t>Unit-Integration</t>
        </is>
      </c>
      <c r="E4" s="4" t="inlineStr">
        <is>
          <t>Workflow transition guard: allowed/blocked, missing-evidence block, concurrency</t>
        </is>
      </c>
      <c r="F4" s="4" t="inlineStr">
        <is>
          <t>Positive</t>
        </is>
      </c>
      <c r="G4" s="4" t="inlineStr">
        <is>
          <t>High</t>
        </is>
      </c>
      <c r="H4" s="4" t="inlineStr">
        <is>
          <t>High</t>
        </is>
      </c>
      <c r="I4" s="4" t="inlineStr">
        <is>
          <t>Critical</t>
        </is>
      </c>
      <c r="J4" s="4" t="inlineStr">
        <is>
          <t>xUnit build ได้</t>
        </is>
      </c>
      <c r="K4" s="4" t="inlineStr">
        <is>
          <t>dotnet test --filter Workflow</t>
        </is>
      </c>
      <c r="L4" s="4" t="inlineStr">
        <is>
          <t>transition from/to + evidence flag + rowVersion</t>
        </is>
      </c>
      <c r="M4" s="4" t="inlineStr">
        <is>
          <t>fixture</t>
        </is>
      </c>
      <c r="N4" s="4" t="inlineStr">
        <is>
          <t>transition ที่อนุญาตผ่าน, ไม่อนุญาต/ขาด evidence ถูก block (EX-56), concurrency ตรวจพบ (EX-57)</t>
        </is>
      </c>
      <c r="O4" s="4" t="inlineStr">
        <is>
          <t>FR-23/EX-56/57</t>
        </is>
      </c>
      <c r="P4" s="4" t="inlineStr">
        <is>
          <t>.aidlc/specs/svm/tasks.md:7.2</t>
        </is>
      </c>
      <c r="Q4" s="4" t="inlineStr">
        <is>
          <t>Code</t>
        </is>
      </c>
      <c r="R4" s="21" t="inlineStr">
        <is>
          <t>Not Run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inlineStr">
        <is>
          <t>-</t>
        </is>
      </c>
      <c r="W4" s="4" t="inlineStr">
        <is>
          <t>-</t>
        </is>
      </c>
      <c r="X4" s="4" t="inlineStr">
        <is>
          <t>-</t>
        </is>
      </c>
      <c r="Y4" s="17" t="inlineStr"/>
      <c r="Z4" s="4" t="inlineStr">
        <is>
          <t>-</t>
        </is>
      </c>
      <c r="AA4" s="4" t="inlineStr">
        <is>
          <t>-</t>
        </is>
      </c>
    </row>
    <row r="5" ht="49" customHeight="1">
      <c r="A5" s="4" t="inlineStr">
        <is>
          <t>TC_021</t>
        </is>
      </c>
      <c r="B5" s="4" t="inlineStr">
        <is>
          <t>US-024</t>
        </is>
      </c>
      <c r="C5" s="4" t="inlineStr">
        <is>
          <t>SLA</t>
        </is>
      </c>
      <c r="D5" s="4" t="inlineStr">
        <is>
          <t>Unit-Integration</t>
        </is>
      </c>
      <c r="E5" s="4" t="inlineStr">
        <is>
          <t>SLA calculation: due date จาก policy + business calendar + breach detection</t>
        </is>
      </c>
      <c r="F5" s="4" t="inlineStr">
        <is>
          <t>Positive</t>
        </is>
      </c>
      <c r="G5" s="4" t="inlineStr">
        <is>
          <t>High</t>
        </is>
      </c>
      <c r="H5" s="4" t="inlineStr">
        <is>
          <t>High</t>
        </is>
      </c>
      <c r="I5" s="4" t="inlineStr">
        <is>
          <t>Medium</t>
        </is>
      </c>
      <c r="J5" s="4" t="inlineStr">
        <is>
          <t>xUnit build ได้</t>
        </is>
      </c>
      <c r="K5" s="4" t="inlineStr">
        <is>
          <t>dotnet test --filter Sla</t>
        </is>
      </c>
      <c r="L5" s="4" t="inlineStr">
        <is>
          <t>policy + calendar + risk level</t>
        </is>
      </c>
      <c r="M5" s="4" t="inlineStr">
        <is>
          <t>fixture</t>
        </is>
      </c>
      <c r="N5" s="4" t="inlineStr">
        <is>
          <t>due-date ถูกต้องตาม policy/calendar, breach detection ถูก, recalc เก็บค่าเดิม</t>
        </is>
      </c>
      <c r="O5" s="4" t="inlineStr">
        <is>
          <t>FR-35</t>
        </is>
      </c>
      <c r="P5" s="4" t="inlineStr">
        <is>
          <t>.aidlc/specs/svm/tasks.md:7.4</t>
        </is>
      </c>
      <c r="Q5" s="4" t="inlineStr">
        <is>
          <t>Code</t>
        </is>
      </c>
      <c r="R5" s="21" t="inlineStr">
        <is>
          <t>Not Run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inlineStr">
        <is>
          <t>-</t>
        </is>
      </c>
      <c r="W5" s="4" t="inlineStr">
        <is>
          <t>-</t>
        </is>
      </c>
      <c r="X5" s="4" t="inlineStr">
        <is>
          <t>-</t>
        </is>
      </c>
      <c r="Y5" s="17" t="inlineStr"/>
      <c r="Z5" s="4" t="inlineStr">
        <is>
          <t>-</t>
        </is>
      </c>
      <c r="AA5" s="4" t="inlineStr">
        <is>
          <t>-</t>
        </is>
      </c>
    </row>
  </sheetData>
  <autoFilter ref="A1:AA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A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38" customWidth="1" min="5" max="5"/>
    <col width="12" customWidth="1" min="6" max="6"/>
    <col width="10" customWidth="1" min="7" max="7"/>
    <col width="10" customWidth="1" min="8" max="8"/>
    <col width="12" customWidth="1" min="9" max="9"/>
    <col width="28" customWidth="1" min="10" max="10"/>
    <col width="40" customWidth="1" min="11" max="11"/>
    <col width="24" customWidth="1" min="12" max="12"/>
    <col width="14" customWidth="1" min="13" max="13"/>
    <col width="34" customWidth="1" min="14" max="14"/>
    <col width="10" customWidth="1" min="15" max="15"/>
    <col width="26" customWidth="1" min="16" max="16"/>
    <col width="12" customWidth="1" min="17" max="17"/>
    <col width="11" customWidth="1" min="18" max="18"/>
    <col width="30" customWidth="1" min="19" max="19"/>
    <col width="14" customWidth="1" min="20" max="20"/>
    <col width="22" customWidth="1" min="21" max="21"/>
    <col width="14" customWidth="1" min="22" max="22"/>
    <col width="12" customWidth="1" min="23" max="23"/>
    <col width="30" customWidth="1" min="24" max="24"/>
    <col width="26" customWidth="1" min="26" max="26"/>
    <col width="24" customWidth="1" min="27" max="27"/>
  </cols>
  <sheetData>
    <row r="1" ht="24" customHeight="1">
      <c r="A1" s="2" t="inlineStr">
        <is>
          <t>id</t>
        </is>
      </c>
      <c r="B1" s="2" t="inlineStr">
        <is>
          <t>user_story_id</t>
        </is>
      </c>
      <c r="C1" s="2" t="inlineStr">
        <is>
          <t>module</t>
        </is>
      </c>
      <c r="D1" s="2" t="inlineStr">
        <is>
          <t>qa_layer</t>
        </is>
      </c>
      <c r="E1" s="2" t="inlineStr">
        <is>
          <t>scenario</t>
        </is>
      </c>
      <c r="F1" s="2" t="inlineStr">
        <is>
          <t>category</t>
        </is>
      </c>
      <c r="G1" s="2" t="inlineStr">
        <is>
          <t>priority</t>
        </is>
      </c>
      <c r="H1" s="2" t="inlineStr">
        <is>
          <t>severity</t>
        </is>
      </c>
      <c r="I1" s="2" t="inlineStr">
        <is>
          <t>risk_level</t>
        </is>
      </c>
      <c r="J1" s="2" t="inlineStr">
        <is>
          <t>preconditions</t>
        </is>
      </c>
      <c r="K1" s="2" t="inlineStr">
        <is>
          <t>steps</t>
        </is>
      </c>
      <c r="L1" s="2" t="inlineStr">
        <is>
          <t>test_data</t>
        </is>
      </c>
      <c r="M1" s="2" t="inlineStr">
        <is>
          <t>test_data_source</t>
        </is>
      </c>
      <c r="N1" s="2" t="inlineStr">
        <is>
          <t>expected</t>
        </is>
      </c>
      <c r="O1" s="2" t="inlineStr">
        <is>
          <t>rule_id</t>
        </is>
      </c>
      <c r="P1" s="2" t="inlineStr">
        <is>
          <t>source_reference</t>
        </is>
      </c>
      <c r="Q1" s="2" t="inlineStr">
        <is>
          <t>source_origin</t>
        </is>
      </c>
      <c r="R1" s="2" t="inlineStr">
        <is>
          <t>status</t>
        </is>
      </c>
      <c r="S1" s="2" t="inlineStr">
        <is>
          <t>actual</t>
        </is>
      </c>
      <c r="T1" s="2" t="inlineStr">
        <is>
          <t>executed_by</t>
        </is>
      </c>
      <c r="U1" s="2" t="inlineStr">
        <is>
          <t>executed_at</t>
        </is>
      </c>
      <c r="V1" s="2" t="inlineStr">
        <is>
          <t>environment</t>
        </is>
      </c>
      <c r="W1" s="2" t="inlineStr">
        <is>
          <t>defect_id</t>
        </is>
      </c>
      <c r="X1" s="2" t="inlineStr">
        <is>
          <t>notes</t>
        </is>
      </c>
      <c r="Y1" s="2" t="inlineStr">
        <is>
          <t>screenshot</t>
        </is>
      </c>
      <c r="Z1" s="2" t="inlineStr">
        <is>
          <t>screenshot_path</t>
        </is>
      </c>
      <c r="AA1" s="2" t="inlineStr">
        <is>
          <t>video_path</t>
        </is>
      </c>
    </row>
    <row r="2" ht="79" customHeight="1">
      <c r="A2" s="4" t="inlineStr">
        <is>
          <t>TC_001</t>
        </is>
      </c>
      <c r="B2" s="4" t="inlineStr">
        <is>
          <t>US-001</t>
        </is>
      </c>
      <c r="C2" s="4" t="inlineStr">
        <is>
          <t>Authentication</t>
        </is>
      </c>
      <c r="D2" s="4" t="inlineStr">
        <is>
          <t>UI</t>
        </is>
      </c>
      <c r="E2" s="4" t="inlineStr">
        <is>
          <t>เข้าสู่ระบบด้วย credential ที่ถูกต้องแล้วเข้าสู่ dashboard</t>
        </is>
      </c>
      <c r="F2" s="4" t="inlineStr">
        <is>
          <t>Positive</t>
        </is>
      </c>
      <c r="G2" s="4" t="inlineStr">
        <is>
          <t>High</t>
        </is>
      </c>
      <c r="H2" s="4" t="inlineStr">
        <is>
          <t>High</t>
        </is>
      </c>
      <c r="I2" s="4" t="inlineStr">
        <is>
          <t>Critical</t>
        </is>
      </c>
      <c r="J2" s="4" t="inlineStr">
        <is>
          <t>web (:4200) + API (:5181) + SQL Server ทำงาน; seed user admin มีอยู่</t>
        </is>
      </c>
      <c r="K2" s="4" t="inlineStr">
        <is>
          <t>1. เปิด /login
2. กรอก username 'admin' และ password 'SvmDemo!2026'
3. กดเข้าสู่ระบบ
4. รอ redirect</t>
        </is>
      </c>
      <c r="L2" s="4" t="inlineStr">
        <is>
          <t>admin / SvmDemo!2026</t>
        </is>
      </c>
      <c r="M2" s="4" t="inlineStr">
        <is>
          <t>fixture</t>
        </is>
      </c>
      <c r="N2" s="4" t="inlineStr">
        <is>
          <t>เข้าสู่ระบบสำเร็จ ถูก redirect ไป /dashboard และแสดงตัวตน+บทบาท (Administrator) พร้อมปุ่มออกจากระบบ</t>
        </is>
      </c>
      <c r="O2" s="4" t="inlineStr">
        <is>
          <t>-</t>
        </is>
      </c>
      <c r="P2" s="4" t="inlineStr">
        <is>
          <t>docs/ui/authentication.md:Frontend acceptance #6</t>
        </is>
      </c>
      <c r="Q2" s="4" t="inlineStr">
        <is>
          <t>Doc</t>
        </is>
      </c>
      <c r="R2" s="21" t="inlineStr">
        <is>
          <t>Not Run</t>
        </is>
      </c>
      <c r="S2" s="4" t="inlineStr">
        <is>
          <t>-</t>
        </is>
      </c>
      <c r="T2" s="4" t="inlineStr">
        <is>
          <t>-</t>
        </is>
      </c>
      <c r="U2" s="4" t="inlineStr">
        <is>
          <t>-</t>
        </is>
      </c>
      <c r="V2" s="4" t="inlineStr">
        <is>
          <t>-</t>
        </is>
      </c>
      <c r="W2" s="4" t="inlineStr">
        <is>
          <t>-</t>
        </is>
      </c>
      <c r="X2" s="4" t="inlineStr">
        <is>
          <t>-</t>
        </is>
      </c>
      <c r="Y2" s="17" t="inlineStr"/>
      <c r="Z2" s="4" t="inlineStr">
        <is>
          <t>-</t>
        </is>
      </c>
      <c r="AA2" s="4" t="inlineStr">
        <is>
          <t>-</t>
        </is>
      </c>
    </row>
    <row r="3" ht="64" customHeight="1">
      <c r="A3" s="4" t="inlineStr">
        <is>
          <t>TC_002</t>
        </is>
      </c>
      <c r="B3" s="4" t="inlineStr">
        <is>
          <t>US-001</t>
        </is>
      </c>
      <c r="C3" s="4" t="inlineStr">
        <is>
          <t>Authentication</t>
        </is>
      </c>
      <c r="D3" s="4" t="inlineStr">
        <is>
          <t>UI</t>
        </is>
      </c>
      <c r="E3" s="4" t="inlineStr">
        <is>
          <t>credential ไม่ถูกต้อง แสดง generic error โดยไม่เปิดเผยสาเหตุ</t>
        </is>
      </c>
      <c r="F3" s="4" t="inlineStr">
        <is>
          <t>Negative</t>
        </is>
      </c>
      <c r="G3" s="4" t="inlineStr">
        <is>
          <t>High</t>
        </is>
      </c>
      <c r="H3" s="4" t="inlineStr">
        <is>
          <t>High</t>
        </is>
      </c>
      <c r="I3" s="4" t="inlineStr">
        <is>
          <t>Critical</t>
        </is>
      </c>
      <c r="J3" s="4" t="inlineStr">
        <is>
          <t>อยู่ที่หน้า /login</t>
        </is>
      </c>
      <c r="K3" s="4" t="inlineStr">
        <is>
          <t>1. กรอก username 'admin' และ password ผิด
2. กดเข้าสู่ระบบ</t>
        </is>
      </c>
      <c r="L3" s="4" t="inlineStr">
        <is>
          <t>admin / wrong-password</t>
        </is>
      </c>
      <c r="M3" s="4" t="inlineStr">
        <is>
          <t>inline</t>
        </is>
      </c>
      <c r="N3" s="4" t="inlineStr">
        <is>
          <t>แสดง inline error แบบทั่วไปใน role=alert, ย้าย focus ไป error, ไม่บอกว่า username มีจริงหรือบัญชีถูกปิด</t>
        </is>
      </c>
      <c r="O3" s="4" t="inlineStr">
        <is>
          <t>EX-01</t>
        </is>
      </c>
      <c r="P3" s="4" t="inlineStr">
        <is>
          <t>docs/ui/authentication.md:Frontend acceptance #2</t>
        </is>
      </c>
      <c r="Q3" s="4" t="inlineStr">
        <is>
          <t>Doc</t>
        </is>
      </c>
      <c r="R3" s="21" t="inlineStr">
        <is>
          <t>Not Run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4" t="inlineStr">
        <is>
          <t>-</t>
        </is>
      </c>
      <c r="X3" s="4" t="inlineStr">
        <is>
          <t>-</t>
        </is>
      </c>
      <c r="Y3" s="17" t="inlineStr"/>
      <c r="Z3" s="4" t="inlineStr">
        <is>
          <t>-</t>
        </is>
      </c>
      <c r="AA3" s="4" t="inlineStr">
        <is>
          <t>-</t>
        </is>
      </c>
    </row>
    <row r="4" ht="34" customHeight="1">
      <c r="A4" s="4" t="inlineStr">
        <is>
          <t>TC_003</t>
        </is>
      </c>
      <c r="B4" s="4" t="inlineStr">
        <is>
          <t>US-001</t>
        </is>
      </c>
      <c r="C4" s="4" t="inlineStr">
        <is>
          <t>Authentication</t>
        </is>
      </c>
      <c r="D4" s="4" t="inlineStr">
        <is>
          <t>UI</t>
        </is>
      </c>
      <c r="E4" s="4" t="inlineStr">
        <is>
          <t>required field ว่าง ไม่ส่งคำขอ login</t>
        </is>
      </c>
      <c r="F4" s="4" t="inlineStr">
        <is>
          <t>Negative</t>
        </is>
      </c>
      <c r="G4" s="4" t="inlineStr">
        <is>
          <t>Medium</t>
        </is>
      </c>
      <c r="H4" s="4" t="inlineStr">
        <is>
          <t>Medium</t>
        </is>
      </c>
      <c r="I4" s="4" t="inlineStr">
        <is>
          <t>High</t>
        </is>
      </c>
      <c r="J4" s="4" t="inlineStr">
        <is>
          <t>อยู่ที่หน้า /login</t>
        </is>
      </c>
      <c r="K4" s="4" t="inlineStr">
        <is>
          <t>1. เว้น username/password ว่าง
2. กดเข้าสู่ระบบ</t>
        </is>
      </c>
      <c r="L4" s="4" t="inlineStr">
        <is>
          <t>(ว่าง)</t>
        </is>
      </c>
      <c r="M4" s="4" t="inlineStr">
        <is>
          <t>inline</t>
        </is>
      </c>
      <c r="N4" s="4" t="inlineStr">
        <is>
          <t>แสดง validation ของ field ที่ว่าง และไม่มีการเรียก AuthService.login</t>
        </is>
      </c>
      <c r="O4" s="4" t="inlineStr">
        <is>
          <t>-</t>
        </is>
      </c>
      <c r="P4" s="4" t="inlineStr">
        <is>
          <t>docs/ui/authentication.md:Frontend acceptance #1</t>
        </is>
      </c>
      <c r="Q4" s="4" t="inlineStr">
        <is>
          <t>Doc</t>
        </is>
      </c>
      <c r="R4" s="21" t="inlineStr">
        <is>
          <t>Not Run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inlineStr">
        <is>
          <t>-</t>
        </is>
      </c>
      <c r="W4" s="4" t="inlineStr">
        <is>
          <t>-</t>
        </is>
      </c>
      <c r="X4" s="4" t="inlineStr">
        <is>
          <t>-</t>
        </is>
      </c>
      <c r="Y4" s="17" t="inlineStr"/>
      <c r="Z4" s="4" t="inlineStr">
        <is>
          <t>-</t>
        </is>
      </c>
      <c r="AA4" s="4" t="inlineStr">
        <is>
          <t>-</t>
        </is>
      </c>
    </row>
    <row r="5" ht="64" customHeight="1">
      <c r="A5" s="4" t="inlineStr">
        <is>
          <t>TC_004</t>
        </is>
      </c>
      <c r="B5" s="4" t="inlineStr">
        <is>
          <t>US-001</t>
        </is>
      </c>
      <c r="C5" s="4" t="inlineStr">
        <is>
          <t>Authentication</t>
        </is>
      </c>
      <c r="D5" s="4" t="inlineStr">
        <is>
          <t>UI</t>
        </is>
      </c>
      <c r="E5" s="4" t="inlineStr">
        <is>
          <t>เปิด protected URL โดยยังไม่ login ถูก redirect ไป login และกลับมาที่เดิมหลัง login</t>
        </is>
      </c>
      <c r="F5" s="4" t="inlineStr">
        <is>
          <t>Negative</t>
        </is>
      </c>
      <c r="G5" s="4" t="inlineStr">
        <is>
          <t>High</t>
        </is>
      </c>
      <c r="H5" s="4" t="inlineStr">
        <is>
          <t>High</t>
        </is>
      </c>
      <c r="I5" s="4" t="inlineStr">
        <is>
          <t>Critical</t>
        </is>
      </c>
      <c r="J5" s="4" t="inlineStr">
        <is>
          <t>ไม่มี session</t>
        </is>
      </c>
      <c r="K5" s="4" t="inlineStr">
        <is>
          <t>1. เปิด /vulnerabilities โดยตรง
2. ถูก redirect ไป /login
3. login สำเร็จ</t>
        </is>
      </c>
      <c r="L5" s="4" t="inlineStr">
        <is>
          <t>returnUrl=/vulnerabilities</t>
        </is>
      </c>
      <c r="M5" s="4" t="inlineStr">
        <is>
          <t>inline</t>
        </is>
      </c>
      <c r="N5" s="4" t="inlineStr">
        <is>
          <t>redirect ไป /login เก็บเฉพาะ returnUrl ภายในที่ allowlist; หลัง login กลับไป /vulnerabilities (URL ภายนอก/ไม่ allowlist → /dashboard)</t>
        </is>
      </c>
      <c r="O5" s="4" t="inlineStr">
        <is>
          <t>-</t>
        </is>
      </c>
      <c r="P5" s="4" t="inlineStr">
        <is>
          <t>docs/ui/authentication.md:Frontend acceptance #10</t>
        </is>
      </c>
      <c r="Q5" s="4" t="inlineStr">
        <is>
          <t>Doc</t>
        </is>
      </c>
      <c r="R5" s="21" t="inlineStr">
        <is>
          <t>Not Run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inlineStr">
        <is>
          <t>-</t>
        </is>
      </c>
      <c r="W5" s="4" t="inlineStr">
        <is>
          <t>-</t>
        </is>
      </c>
      <c r="X5" s="4" t="inlineStr">
        <is>
          <t>-</t>
        </is>
      </c>
      <c r="Y5" s="17" t="inlineStr"/>
      <c r="Z5" s="4" t="inlineStr">
        <is>
          <t>-</t>
        </is>
      </c>
      <c r="AA5" s="4" t="inlineStr">
        <is>
          <t>-</t>
        </is>
      </c>
    </row>
    <row r="6" ht="64" customHeight="1">
      <c r="A6" s="4" t="inlineStr">
        <is>
          <t>TC_005</t>
        </is>
      </c>
      <c r="B6" s="4" t="inlineStr">
        <is>
          <t>US-001</t>
        </is>
      </c>
      <c r="C6" s="4" t="inlineStr">
        <is>
          <t>Authentication</t>
        </is>
      </c>
      <c r="D6" s="4" t="inlineStr">
        <is>
          <t>API</t>
        </is>
      </c>
      <c r="E6" s="4" t="inlineStr">
        <is>
          <t>POST /auth/login ด้วย credential ถูกต้อง คืน token + user</t>
        </is>
      </c>
      <c r="F6" s="4" t="inlineStr">
        <is>
          <t>Positive</t>
        </is>
      </c>
      <c r="G6" s="4" t="inlineStr">
        <is>
          <t>High</t>
        </is>
      </c>
      <c r="H6" s="4" t="inlineStr">
        <is>
          <t>High</t>
        </is>
      </c>
      <c r="I6" s="4" t="inlineStr">
        <is>
          <t>Critical</t>
        </is>
      </c>
      <c r="J6" s="4" t="inlineStr">
        <is>
          <t>API ทำงาน; ขอ CSRF token จาก GET /auth/csrf ก่อน</t>
        </is>
      </c>
      <c r="K6" s="4" t="inlineStr">
        <is>
          <t>1. GET /api/v1/auth/csrf
2. POST /api/v1/auth/login body {username,password} พร้อม CSRF header</t>
        </is>
      </c>
      <c r="L6" s="4" t="inlineStr">
        <is>
          <t>{ "username":"admin", "password":"SvmDemo!2026" }</t>
        </is>
      </c>
      <c r="M6" s="4" t="inlineStr">
        <is>
          <t>fixture</t>
        </is>
      </c>
      <c r="N6" s="4" t="inlineStr">
        <is>
          <t>200; body มี token/expiresAt และ user (id, displayName, roles); ตั้ง refresh cookie (HttpOnly, SameSite=Strict)</t>
        </is>
      </c>
      <c r="O6" s="4" t="inlineStr">
        <is>
          <t>-</t>
        </is>
      </c>
      <c r="P6" s="4" t="inlineStr">
        <is>
          <t>.aidlc/specs/svm/design/api-spec.md:Auth</t>
        </is>
      </c>
      <c r="Q6" s="4" t="inlineStr">
        <is>
          <t>Doc</t>
        </is>
      </c>
      <c r="R6" s="21" t="inlineStr">
        <is>
          <t>Not Run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17" t="inlineStr"/>
      <c r="Z6" s="4" t="inlineStr">
        <is>
          <t>-</t>
        </is>
      </c>
      <c r="AA6" s="4" t="inlineStr">
        <is>
          <t>-</t>
        </is>
      </c>
    </row>
    <row r="7" ht="49" customHeight="1">
      <c r="A7" s="4" t="inlineStr">
        <is>
          <t>TC_006</t>
        </is>
      </c>
      <c r="B7" s="4" t="inlineStr">
        <is>
          <t>US-001</t>
        </is>
      </c>
      <c r="C7" s="4" t="inlineStr">
        <is>
          <t>Authentication</t>
        </is>
      </c>
      <c r="D7" s="4" t="inlineStr">
        <is>
          <t>API</t>
        </is>
      </c>
      <c r="E7" s="4" t="inlineStr">
        <is>
          <t>POST /auth/login ด้วย credential ผิด คืน 401 ProblemDetails ทั่วไป</t>
        </is>
      </c>
      <c r="F7" s="4" t="inlineStr">
        <is>
          <t>Negative</t>
        </is>
      </c>
      <c r="G7" s="4" t="inlineStr">
        <is>
          <t>High</t>
        </is>
      </c>
      <c r="H7" s="4" t="inlineStr">
        <is>
          <t>High</t>
        </is>
      </c>
      <c r="I7" s="4" t="inlineStr">
        <is>
          <t>Critical</t>
        </is>
      </c>
      <c r="J7" s="4" t="inlineStr">
        <is>
          <t>API ทำงาน; มี CSRF token</t>
        </is>
      </c>
      <c r="K7" s="4" t="inlineStr">
        <is>
          <t>POST /api/v1/auth/login body credential ผิด พร้อม CSRF header</t>
        </is>
      </c>
      <c r="L7" s="4" t="inlineStr">
        <is>
          <t>{ "username":"admin", "password":"xxx" }</t>
        </is>
      </c>
      <c r="M7" s="4" t="inlineStr">
        <is>
          <t>inline</t>
        </is>
      </c>
      <c r="N7" s="4" t="inlineStr">
        <is>
          <t>401; ProblemDetails code=AUTH_INVALID_CREDENTIALS ข้อความทั่วไป ไม่ระบุว่า user มีจริงหรือไม่</t>
        </is>
      </c>
      <c r="O7" s="4" t="inlineStr">
        <is>
          <t>EX-01/04</t>
        </is>
      </c>
      <c r="P7" s="4" t="inlineStr">
        <is>
          <t>.aidlc/specs/svm/design/api-spec.md:Auth</t>
        </is>
      </c>
      <c r="Q7" s="4" t="inlineStr">
        <is>
          <t>Doc</t>
        </is>
      </c>
      <c r="R7" s="21" t="inlineStr">
        <is>
          <t>Not Run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17" t="inlineStr"/>
      <c r="Z7" s="4" t="inlineStr">
        <is>
          <t>-</t>
        </is>
      </c>
      <c r="AA7" s="4" t="inlineStr">
        <is>
          <t>-</t>
        </is>
      </c>
    </row>
    <row r="8" ht="34" customHeight="1">
      <c r="A8" s="4" t="inlineStr">
        <is>
          <t>TC_007</t>
        </is>
      </c>
      <c r="B8" s="4" t="inlineStr">
        <is>
          <t>US-002</t>
        </is>
      </c>
      <c r="C8" s="4" t="inlineStr">
        <is>
          <t>Access Control (RBAC)</t>
        </is>
      </c>
      <c r="D8" s="4" t="inlineStr">
        <is>
          <t>API</t>
        </is>
      </c>
      <c r="E8" s="4" t="inlineStr">
        <is>
          <t>เรียก endpoint ที่ป้องกันโดยไม่มี token คืน 401</t>
        </is>
      </c>
      <c r="F8" s="4" t="inlineStr">
        <is>
          <t>Negative</t>
        </is>
      </c>
      <c r="G8" s="4" t="inlineStr">
        <is>
          <t>High</t>
        </is>
      </c>
      <c r="H8" s="4" t="inlineStr">
        <is>
          <t>High</t>
        </is>
      </c>
      <c r="I8" s="4" t="inlineStr">
        <is>
          <t>Critical</t>
        </is>
      </c>
      <c r="J8" s="4" t="inlineStr">
        <is>
          <t>API ทำงาน</t>
        </is>
      </c>
      <c r="K8" s="4" t="inlineStr">
        <is>
          <t>GET /api/v1/instances โดยไม่แนบ Authorization header</t>
        </is>
      </c>
      <c r="L8" s="4" t="inlineStr">
        <is>
          <t>(ไม่มี token)</t>
        </is>
      </c>
      <c r="M8" s="4" t="inlineStr">
        <is>
          <t>inline</t>
        </is>
      </c>
      <c r="N8" s="4" t="inlineStr">
        <is>
          <t>401 Unauthorized (ProblemDetails)</t>
        </is>
      </c>
      <c r="O8" s="4" t="inlineStr">
        <is>
          <t>NFR-11</t>
        </is>
      </c>
      <c r="P8" s="4" t="inlineStr">
        <is>
          <t>.aidlc/specs/svm/requirements.md:US-002</t>
        </is>
      </c>
      <c r="Q8" s="4" t="inlineStr">
        <is>
          <t>Doc</t>
        </is>
      </c>
      <c r="R8" s="21" t="inlineStr">
        <is>
          <t>Not Run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17" t="inlineStr"/>
      <c r="Z8" s="4" t="inlineStr">
        <is>
          <t>-</t>
        </is>
      </c>
      <c r="AA8" s="4" t="inlineStr">
        <is>
          <t>-</t>
        </is>
      </c>
    </row>
    <row r="9" ht="34" customHeight="1">
      <c r="A9" s="4" t="inlineStr">
        <is>
          <t>TC_008</t>
        </is>
      </c>
      <c r="B9" s="4" t="inlineStr">
        <is>
          <t>US-002</t>
        </is>
      </c>
      <c r="C9" s="4" t="inlineStr">
        <is>
          <t>Access Control (RBAC)</t>
        </is>
      </c>
      <c r="D9" s="4" t="inlineStr">
        <is>
          <t>API</t>
        </is>
      </c>
      <c r="E9" s="4" t="inlineStr">
        <is>
          <t>ผู้ใช้ไม่มีสิทธิ์เรียก endpoint ที่ต้องการ permission คืน 403</t>
        </is>
      </c>
      <c r="F9" s="4" t="inlineStr">
        <is>
          <t>Negative</t>
        </is>
      </c>
      <c r="G9" s="4" t="inlineStr">
        <is>
          <t>High</t>
        </is>
      </c>
      <c r="H9" s="4" t="inlineStr">
        <is>
          <t>High</t>
        </is>
      </c>
      <c r="I9" s="4" t="inlineStr">
        <is>
          <t>Critical</t>
        </is>
      </c>
      <c r="J9" s="4" t="inlineStr">
        <is>
          <t>login เป็น user ที่ไม่มี permission admin.*</t>
        </is>
      </c>
      <c r="K9" s="4" t="inlineStr">
        <is>
          <t>1. login เป็น officer1
2. GET /api/v1/admin/risk-weights</t>
        </is>
      </c>
      <c r="L9" s="4" t="inlineStr">
        <is>
          <t>officer1 token</t>
        </is>
      </c>
      <c r="M9" s="4" t="inlineStr">
        <is>
          <t>fixture</t>
        </is>
      </c>
      <c r="N9" s="4" t="inlineStr">
        <is>
          <t>403 Forbidden (ProblemDetails) และบันทึก audit</t>
        </is>
      </c>
      <c r="O9" s="4" t="inlineStr">
        <is>
          <t>EX-06</t>
        </is>
      </c>
      <c r="P9" s="4" t="inlineStr">
        <is>
          <t>.aidlc/specs/svm/requirements.md:US-002</t>
        </is>
      </c>
      <c r="Q9" s="4" t="inlineStr">
        <is>
          <t>Doc</t>
        </is>
      </c>
      <c r="R9" s="21" t="inlineStr">
        <is>
          <t>Not Run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17" t="inlineStr"/>
      <c r="Z9" s="4" t="inlineStr">
        <is>
          <t>-</t>
        </is>
      </c>
      <c r="AA9" s="4" t="inlineStr">
        <is>
          <t>-</t>
        </is>
      </c>
    </row>
    <row r="10" ht="49" customHeight="1">
      <c r="A10" s="4" t="inlineStr">
        <is>
          <t>TC_009</t>
        </is>
      </c>
      <c r="B10" s="4" t="inlineStr">
        <is>
          <t>US-003</t>
        </is>
      </c>
      <c r="C10" s="4" t="inlineStr">
        <is>
          <t>Access Control (Data Segregation)</t>
        </is>
      </c>
      <c r="D10" s="4" t="inlineStr">
        <is>
          <t>API</t>
        </is>
      </c>
      <c r="E10" s="4" t="inlineStr">
        <is>
          <t>list asset ถูก filter ตาม data scope ของผู้ใช้</t>
        </is>
      </c>
      <c r="F10" s="4" t="inlineStr">
        <is>
          <t>Positive</t>
        </is>
      </c>
      <c r="G10" s="4" t="inlineStr">
        <is>
          <t>High</t>
        </is>
      </c>
      <c r="H10" s="4" t="inlineStr">
        <is>
          <t>High</t>
        </is>
      </c>
      <c r="I10" s="4" t="inlineStr">
        <is>
          <t>High</t>
        </is>
      </c>
      <c r="J10" s="4" t="inlineStr">
        <is>
          <t>login เป็น user ที่มี scope จำกัด</t>
        </is>
      </c>
      <c r="K10" s="4" t="inlineStr">
        <is>
          <t>GET /api/v1/assets พร้อม token ของ user</t>
        </is>
      </c>
      <c r="L10" s="4" t="inlineStr">
        <is>
          <t>scoped user token</t>
        </is>
      </c>
      <c r="M10" s="4" t="inlineStr">
        <is>
          <t>fixture</t>
        </is>
      </c>
      <c r="N10" s="4" t="inlineStr">
        <is>
          <t>200; items มีเฉพาะ asset ใน business unit/scope ของผู้ใช้</t>
        </is>
      </c>
      <c r="O10" s="4" t="inlineStr">
        <is>
          <t>FR-63/BR-30</t>
        </is>
      </c>
      <c r="P10" s="4" t="inlineStr">
        <is>
          <t>.aidlc/specs/svm/requirements.md:US-003</t>
        </is>
      </c>
      <c r="Q10" s="4" t="inlineStr">
        <is>
          <t>Doc</t>
        </is>
      </c>
      <c r="R10" s="21" t="inlineStr">
        <is>
          <t>Not Run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17" t="inlineStr"/>
      <c r="Z10" s="4" t="inlineStr">
        <is>
          <t>-</t>
        </is>
      </c>
      <c r="AA10" s="4" t="inlineStr">
        <is>
          <t>-</t>
        </is>
      </c>
    </row>
    <row r="11" ht="34" customHeight="1">
      <c r="A11" s="4" t="inlineStr">
        <is>
          <t>TC_010</t>
        </is>
      </c>
      <c r="B11" s="4" t="inlineStr">
        <is>
          <t>US-004</t>
        </is>
      </c>
      <c r="C11" s="4" t="inlineStr">
        <is>
          <t>Asset Management</t>
        </is>
      </c>
      <c r="D11" s="4" t="inlineStr">
        <is>
          <t>UI</t>
        </is>
      </c>
      <c r="E11" s="4" t="inlineStr">
        <is>
          <t>ดูรายการ asset พร้อม filter บนหน้า dashboard/vulnerabilities</t>
        </is>
      </c>
      <c r="F11" s="4" t="inlineStr">
        <is>
          <t>Positive</t>
        </is>
      </c>
      <c r="G11" s="4" t="inlineStr">
        <is>
          <t>High</t>
        </is>
      </c>
      <c r="H11" s="4" t="inlineStr">
        <is>
          <t>High</t>
        </is>
      </c>
      <c r="I11" s="4" t="inlineStr">
        <is>
          <t>High</t>
        </is>
      </c>
      <c r="J11" s="4" t="inlineStr">
        <is>
          <t>login เป็น officer1</t>
        </is>
      </c>
      <c r="K11" s="4" t="inlineStr">
        <is>
          <t>1. ไปหน้ารายการช่องโหว่/asset
2. ใช้ filter ตาม field</t>
        </is>
      </c>
      <c r="L11" s="4" t="inlineStr">
        <is>
          <t>filter riskLevel=Critical</t>
        </is>
      </c>
      <c r="M11" s="4" t="inlineStr">
        <is>
          <t>fixture</t>
        </is>
      </c>
      <c r="N11" s="4" t="inlineStr">
        <is>
          <t>แสดงรายการที่ตรงเงื่อนไขและอยู่ใน data scope พร้อมคอลัมน์สำคัญ</t>
        </is>
      </c>
      <c r="O11" s="4" t="inlineStr">
        <is>
          <t>FR-01</t>
        </is>
      </c>
      <c r="P11" s="4" t="inlineStr">
        <is>
          <t>.aidlc/specs/svm/requirements.md:US-004</t>
        </is>
      </c>
      <c r="Q11" s="4" t="inlineStr">
        <is>
          <t>Doc</t>
        </is>
      </c>
      <c r="R11" s="21" t="inlineStr">
        <is>
          <t>Not Run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17" t="inlineStr"/>
      <c r="Z11" s="4" t="inlineStr">
        <is>
          <t>-</t>
        </is>
      </c>
      <c r="AA11" s="4" t="inlineStr">
        <is>
          <t>-</t>
        </is>
      </c>
    </row>
    <row r="12" ht="49" customHeight="1">
      <c r="A12" s="4" t="inlineStr">
        <is>
          <t>TC_011</t>
        </is>
      </c>
      <c r="B12" s="4" t="inlineStr">
        <is>
          <t>US-007</t>
        </is>
      </c>
      <c r="C12" s="4" t="inlineStr">
        <is>
          <t>Vulnerability Intake</t>
        </is>
      </c>
      <c r="D12" s="4" t="inlineStr">
        <is>
          <t>UI</t>
        </is>
      </c>
      <c r="E12" s="4" t="inlineStr">
        <is>
          <t>นำเข้า finding จากไฟล์ CSV สำเร็จ แสดงผลสรุป batch</t>
        </is>
      </c>
      <c r="F12" s="4" t="inlineStr">
        <is>
          <t>Positive</t>
        </is>
      </c>
      <c r="G12" s="4" t="inlineStr">
        <is>
          <t>High</t>
        </is>
      </c>
      <c r="H12" s="4" t="inlineStr">
        <is>
          <t>High</t>
        </is>
      </c>
      <c r="I12" s="4" t="inlineStr">
        <is>
          <t>High</t>
        </is>
      </c>
      <c r="J12" s="4" t="inlineStr">
        <is>
          <t>login เป็น officer1; มีไฟล์ CSV ตาม template</t>
        </is>
      </c>
      <c r="K12" s="4" t="inlineStr">
        <is>
          <t>1. ไปหน้า /intake
2. อัปโหลดไฟล์ CSV ที่ถูกต้อง
3. ยืนยัน</t>
        </is>
      </c>
      <c r="L12" s="4" t="inlineStr">
        <is>
          <t>findings_valid.csv</t>
        </is>
      </c>
      <c r="M12" s="4" t="inlineStr">
        <is>
          <t>fixture</t>
        </is>
      </c>
      <c r="N12" s="4" t="inlineStr">
        <is>
          <t>แสดงผล Success/Partial พร้อมจำนวน total/success/failed</t>
        </is>
      </c>
      <c r="O12" s="4" t="inlineStr">
        <is>
          <t>FR-05</t>
        </is>
      </c>
      <c r="P12" s="4" t="inlineStr">
        <is>
          <t>.aidlc/specs/svm/requirements.md:US-007</t>
        </is>
      </c>
      <c r="Q12" s="4" t="inlineStr">
        <is>
          <t>Doc</t>
        </is>
      </c>
      <c r="R12" s="21" t="inlineStr">
        <is>
          <t>Not Run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17" t="inlineStr"/>
      <c r="Z12" s="4" t="inlineStr">
        <is>
          <t>-</t>
        </is>
      </c>
      <c r="AA12" s="4" t="inlineStr">
        <is>
          <t>-</t>
        </is>
      </c>
    </row>
    <row r="13" ht="49" customHeight="1">
      <c r="A13" s="4" t="inlineStr">
        <is>
          <t>TC_012</t>
        </is>
      </c>
      <c r="B13" s="4" t="inlineStr">
        <is>
          <t>US-007</t>
        </is>
      </c>
      <c r="C13" s="4" t="inlineStr">
        <is>
          <t>Vulnerability Intake</t>
        </is>
      </c>
      <c r="D13" s="4" t="inlineStr">
        <is>
          <t>API</t>
        </is>
      </c>
      <c r="E13" s="4" t="inlineStr">
        <is>
          <t>POST /findings/import ไฟล์ผิด format ถูกปฏิเสธ</t>
        </is>
      </c>
      <c r="F13" s="4" t="inlineStr">
        <is>
          <t>Negative</t>
        </is>
      </c>
      <c r="G13" s="4" t="inlineStr">
        <is>
          <t>High</t>
        </is>
      </c>
      <c r="H13" s="4" t="inlineStr">
        <is>
          <t>High</t>
        </is>
      </c>
      <c r="I13" s="4" t="inlineStr">
        <is>
          <t>High</t>
        </is>
      </c>
      <c r="J13" s="4" t="inlineStr">
        <is>
          <t>login มี permission finding.import</t>
        </is>
      </c>
      <c r="K13" s="4" t="inlineStr">
        <is>
          <t>POST /api/v1/findings/import ด้วยไฟล์ที่ไม่ใช่ format ที่รองรับ/ว่าง</t>
        </is>
      </c>
      <c r="L13" s="4" t="inlineStr">
        <is>
          <t>invalid.txt (empty)</t>
        </is>
      </c>
      <c r="M13" s="4" t="inlineStr">
        <is>
          <t>inline</t>
        </is>
      </c>
      <c r="N13" s="4" t="inlineStr">
        <is>
          <t>ปฏิเสธพร้อมข้อความระบุสาเหตุ (EX-11/12/13); ไม่สร้างข้อมูลบางส่วนที่ไม่ครบ</t>
        </is>
      </c>
      <c r="O13" s="4" t="inlineStr">
        <is>
          <t>EX-11/12/13</t>
        </is>
      </c>
      <c r="P13" s="4" t="inlineStr">
        <is>
          <t>.aidlc/specs/svm/design/api-spec.md:Findings — Intake</t>
        </is>
      </c>
      <c r="Q13" s="4" t="inlineStr">
        <is>
          <t>Doc</t>
        </is>
      </c>
      <c r="R13" s="21" t="inlineStr">
        <is>
          <t>Not Run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17" t="inlineStr"/>
      <c r="Z13" s="4" t="inlineStr">
        <is>
          <t>-</t>
        </is>
      </c>
      <c r="AA13" s="4" t="inlineStr">
        <is>
          <t>-</t>
        </is>
      </c>
    </row>
    <row r="14" ht="34" customHeight="1">
      <c r="A14" s="4" t="inlineStr">
        <is>
          <t>TC_013</t>
        </is>
      </c>
      <c r="B14" s="4" t="inlineStr">
        <is>
          <t>US-008</t>
        </is>
      </c>
      <c r="C14" s="4" t="inlineStr">
        <is>
          <t>Vulnerability Intake</t>
        </is>
      </c>
      <c r="D14" s="4" t="inlineStr">
        <is>
          <t>API</t>
        </is>
      </c>
      <c r="E14" s="4" t="inlineStr">
        <is>
          <t>POST /findings/manual ขาด mandatory field ถูกปฏิเสธ</t>
        </is>
      </c>
      <c r="F14" s="4" t="inlineStr">
        <is>
          <t>Negative</t>
        </is>
      </c>
      <c r="G14" s="4" t="inlineStr">
        <is>
          <t>High</t>
        </is>
      </c>
      <c r="H14" s="4" t="inlineStr">
        <is>
          <t>High</t>
        </is>
      </c>
      <c r="I14" s="4" t="inlineStr">
        <is>
          <t>High</t>
        </is>
      </c>
      <c r="J14" s="4" t="inlineStr">
        <is>
          <t>login มี permission finding.create</t>
        </is>
      </c>
      <c r="K14" s="4" t="inlineStr">
        <is>
          <t>POST /api/v1/findings/manual body ขาด severity/asset</t>
        </is>
      </c>
      <c r="L14" s="4" t="inlineStr">
        <is>
          <t>{ "findingName":"x" }</t>
        </is>
      </c>
      <c r="M14" s="4" t="inlineStr">
        <is>
          <t>inline</t>
        </is>
      </c>
      <c r="N14" s="4" t="inlineStr">
        <is>
          <t>400/422 ระบุ field ที่ขาด (EX-15); ไม่สร้าง finding</t>
        </is>
      </c>
      <c r="O14" s="4" t="inlineStr">
        <is>
          <t>EX-15</t>
        </is>
      </c>
      <c r="P14" s="4" t="inlineStr">
        <is>
          <t>.aidlc/specs/svm/requirements.md:US-008</t>
        </is>
      </c>
      <c r="Q14" s="4" t="inlineStr">
        <is>
          <t>Doc</t>
        </is>
      </c>
      <c r="R14" s="21" t="inlineStr">
        <is>
          <t>Not Run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17" t="inlineStr"/>
      <c r="Z14" s="4" t="inlineStr">
        <is>
          <t>-</t>
        </is>
      </c>
      <c r="AA14" s="4" t="inlineStr">
        <is>
          <t>-</t>
        </is>
      </c>
    </row>
    <row r="15" ht="34" customHeight="1">
      <c r="A15" s="4" t="inlineStr">
        <is>
          <t>TC_014</t>
        </is>
      </c>
      <c r="B15" s="4" t="inlineStr">
        <is>
          <t>US-012</t>
        </is>
      </c>
      <c r="C15" s="4" t="inlineStr">
        <is>
          <t>Data Quality / Dedup</t>
        </is>
      </c>
      <c r="D15" s="4" t="inlineStr">
        <is>
          <t>Unit-Integration</t>
        </is>
      </c>
      <c r="E15" s="4" t="inlineStr">
        <is>
          <t>dedup key ถูกต้อง + idempotent re-import + ambiguous → NeedsReview queue</t>
        </is>
      </c>
      <c r="F15" s="4" t="inlineStr">
        <is>
          <t>Positive</t>
        </is>
      </c>
      <c r="G15" s="4" t="inlineStr">
        <is>
          <t>High</t>
        </is>
      </c>
      <c r="H15" s="4" t="inlineStr">
        <is>
          <t>High</t>
        </is>
      </c>
      <c r="I15" s="4" t="inlineStr">
        <is>
          <t>High</t>
        </is>
      </c>
      <c r="J15" s="4" t="inlineStr">
        <is>
          <t>โปรเจกต์ api test (xUnit) build ได้</t>
        </is>
      </c>
      <c r="K15" s="4" t="inlineStr">
        <is>
          <t>dotnet test --filter DataQuality (Intake)</t>
        </is>
      </c>
      <c r="L15" s="4" t="inlineStr">
        <is>
          <t>finding ซ้ำ asset+cve+location+port+component</t>
        </is>
      </c>
      <c r="M15" s="4" t="inlineStr">
        <is>
          <t>fixture</t>
        </is>
      </c>
      <c r="N15" s="4" t="inlineStr">
        <is>
          <t>dedup key ตรง, re-import ไม่สร้างซ้ำ, กรณีกำกวมเข้า queue (EX-45)</t>
        </is>
      </c>
      <c r="O15" s="4" t="inlineStr">
        <is>
          <t>FR-11/EX-45</t>
        </is>
      </c>
      <c r="P15" s="4" t="inlineStr">
        <is>
          <t>.aidlc/specs/svm/tasks.md:7.3</t>
        </is>
      </c>
      <c r="Q15" s="4" t="inlineStr">
        <is>
          <t>Code</t>
        </is>
      </c>
      <c r="R15" s="21" t="inlineStr">
        <is>
          <t>Not Run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17" t="inlineStr"/>
      <c r="Z15" s="4" t="inlineStr">
        <is>
          <t>-</t>
        </is>
      </c>
      <c r="AA15" s="4" t="inlineStr">
        <is>
          <t>-</t>
        </is>
      </c>
    </row>
    <row r="16" ht="34" customHeight="1">
      <c r="A16" s="4" t="inlineStr">
        <is>
          <t>TC_015</t>
        </is>
      </c>
      <c r="B16" s="4" t="inlineStr">
        <is>
          <t>US-015</t>
        </is>
      </c>
      <c r="C16" s="4" t="inlineStr">
        <is>
          <t>Risk Scoring</t>
        </is>
      </c>
      <c r="D16" s="4" t="inlineStr">
        <is>
          <t>Unit-Integration</t>
        </is>
      </c>
      <c r="E16" s="4" t="inlineStr">
        <is>
          <t>RiskScoringEngine: score ∈ [0,100], weight-sum ถูก, classify ตาม threshold</t>
        </is>
      </c>
      <c r="F16" s="4" t="inlineStr">
        <is>
          <t>Positive</t>
        </is>
      </c>
      <c r="G16" s="4" t="inlineStr">
        <is>
          <t>High</t>
        </is>
      </c>
      <c r="H16" s="4" t="inlineStr">
        <is>
          <t>High</t>
        </is>
      </c>
      <c r="I16" s="4" t="inlineStr">
        <is>
          <t>Critical</t>
        </is>
      </c>
      <c r="J16" s="4" t="inlineStr">
        <is>
          <t>xUnit build ได้</t>
        </is>
      </c>
      <c r="K16" s="4" t="inlineStr">
        <is>
          <t>dotnet test --filter Risk</t>
        </is>
      </c>
      <c r="L16" s="4" t="inlineStr">
        <is>
          <t>factors + weight ตาม config</t>
        </is>
      </c>
      <c r="M16" s="4" t="inlineStr">
        <is>
          <t>fixture</t>
        </is>
      </c>
      <c r="N16" s="4" t="inlineStr">
        <is>
          <t>invariant 0–100 ถือ, weighted-sum ถูกต้อง, classify ตาม threshold</t>
        </is>
      </c>
      <c r="O16" s="4" t="inlineStr">
        <is>
          <t>FR-16</t>
        </is>
      </c>
      <c r="P16" s="4" t="inlineStr">
        <is>
          <t>.aidlc/specs/svm/tasks.md:7.1</t>
        </is>
      </c>
      <c r="Q16" s="4" t="inlineStr">
        <is>
          <t>Code</t>
        </is>
      </c>
      <c r="R16" s="21" t="inlineStr">
        <is>
          <t>Not Run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17" t="inlineStr"/>
      <c r="Z16" s="4" t="inlineStr">
        <is>
          <t>-</t>
        </is>
      </c>
      <c r="AA16" s="4" t="inlineStr">
        <is>
          <t>-</t>
        </is>
      </c>
    </row>
    <row r="17" ht="34" customHeight="1">
      <c r="A17" s="4" t="inlineStr">
        <is>
          <t>TC_016</t>
        </is>
      </c>
      <c r="B17" s="4" t="inlineStr">
        <is>
          <t>US-015</t>
        </is>
      </c>
      <c r="C17" s="4" t="inlineStr">
        <is>
          <t>Risk Scoring</t>
        </is>
      </c>
      <c r="D17" s="4" t="inlineStr">
        <is>
          <t>API</t>
        </is>
      </c>
      <c r="E17" s="4" t="inlineStr">
        <is>
          <t>PUT /admin/risk-weights ด้วย weight รวมผิด/ติดลบ คืน 422</t>
        </is>
      </c>
      <c r="F17" s="4" t="inlineStr">
        <is>
          <t>Negative</t>
        </is>
      </c>
      <c r="G17" s="4" t="inlineStr">
        <is>
          <t>High</t>
        </is>
      </c>
      <c r="H17" s="4" t="inlineStr">
        <is>
          <t>High</t>
        </is>
      </c>
      <c r="I17" s="4" t="inlineStr">
        <is>
          <t>Critical</t>
        </is>
      </c>
      <c r="J17" s="4" t="inlineStr">
        <is>
          <t>login มี permission admin.risk</t>
        </is>
      </c>
      <c r="K17" s="4" t="inlineStr">
        <is>
          <t>PUT /api/v1/admin/risk-weights ด้วย weight ที่ผลรวมผิดหรือมีค่าติดลบ</t>
        </is>
      </c>
      <c r="L17" s="4" t="inlineStr">
        <is>
          <t>weights ที่ invalid</t>
        </is>
      </c>
      <c r="M17" s="4" t="inlineStr">
        <is>
          <t>inline</t>
        </is>
      </c>
      <c r="N17" s="4" t="inlineStr">
        <is>
          <t>422 INVALID_RISK_WEIGHT ปฏิเสธ configuration</t>
        </is>
      </c>
      <c r="O17" s="4" t="inlineStr">
        <is>
          <t>EX-54</t>
        </is>
      </c>
      <c r="P17" s="4" t="inlineStr">
        <is>
          <t>.aidlc/specs/svm/design/api-spec.md:Administration</t>
        </is>
      </c>
      <c r="Q17" s="4" t="inlineStr">
        <is>
          <t>Doc</t>
        </is>
      </c>
      <c r="R17" s="21" t="inlineStr">
        <is>
          <t>Not Run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17" t="inlineStr"/>
      <c r="Z17" s="4" t="inlineStr">
        <is>
          <t>-</t>
        </is>
      </c>
      <c r="AA17" s="4" t="inlineStr">
        <is>
          <t>-</t>
        </is>
      </c>
    </row>
    <row r="18" ht="49" customHeight="1">
      <c r="A18" s="4" t="inlineStr">
        <is>
          <t>TC_017</t>
        </is>
      </c>
      <c r="B18" s="4" t="inlineStr">
        <is>
          <t>US-019</t>
        </is>
      </c>
      <c r="C18" s="4" t="inlineStr">
        <is>
          <t>Workflow</t>
        </is>
      </c>
      <c r="D18" s="4" t="inlineStr">
        <is>
          <t>Unit-Integration</t>
        </is>
      </c>
      <c r="E18" s="4" t="inlineStr">
        <is>
          <t>Workflow transition guard: allowed/blocked, missing-evidence block, concurrency</t>
        </is>
      </c>
      <c r="F18" s="4" t="inlineStr">
        <is>
          <t>Positive</t>
        </is>
      </c>
      <c r="G18" s="4" t="inlineStr">
        <is>
          <t>High</t>
        </is>
      </c>
      <c r="H18" s="4" t="inlineStr">
        <is>
          <t>High</t>
        </is>
      </c>
      <c r="I18" s="4" t="inlineStr">
        <is>
          <t>Critical</t>
        </is>
      </c>
      <c r="J18" s="4" t="inlineStr">
        <is>
          <t>xUnit build ได้</t>
        </is>
      </c>
      <c r="K18" s="4" t="inlineStr">
        <is>
          <t>dotnet test --filter Workflow</t>
        </is>
      </c>
      <c r="L18" s="4" t="inlineStr">
        <is>
          <t>transition from/to + evidence flag + rowVersion</t>
        </is>
      </c>
      <c r="M18" s="4" t="inlineStr">
        <is>
          <t>fixture</t>
        </is>
      </c>
      <c r="N18" s="4" t="inlineStr">
        <is>
          <t>transition ที่อนุญาตผ่าน, ไม่อนุญาต/ขาด evidence ถูก block (EX-56), concurrency ตรวจพบ (EX-57)</t>
        </is>
      </c>
      <c r="O18" s="4" t="inlineStr">
        <is>
          <t>FR-23/EX-56/57</t>
        </is>
      </c>
      <c r="P18" s="4" t="inlineStr">
        <is>
          <t>.aidlc/specs/svm/tasks.md:7.2</t>
        </is>
      </c>
      <c r="Q18" s="4" t="inlineStr">
        <is>
          <t>Code</t>
        </is>
      </c>
      <c r="R18" s="21" t="inlineStr">
        <is>
          <t>Not Run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17" t="inlineStr"/>
      <c r="Z18" s="4" t="inlineStr">
        <is>
          <t>-</t>
        </is>
      </c>
      <c r="AA18" s="4" t="inlineStr">
        <is>
          <t>-</t>
        </is>
      </c>
    </row>
    <row r="19" ht="49" customHeight="1">
      <c r="A19" s="4" t="inlineStr">
        <is>
          <t>TC_018</t>
        </is>
      </c>
      <c r="B19" s="4" t="inlineStr">
        <is>
          <t>US-019</t>
        </is>
      </c>
      <c r="C19" s="4" t="inlineStr">
        <is>
          <t>Workflow</t>
        </is>
      </c>
      <c r="D19" s="4" t="inlineStr">
        <is>
          <t>API</t>
        </is>
      </c>
      <c r="E19" s="4" t="inlineStr">
        <is>
          <t>POST /instances/{id}/transition ที่ไม่อยู่ใน workflow คืน 422</t>
        </is>
      </c>
      <c r="F19" s="4" t="inlineStr">
        <is>
          <t>Negative</t>
        </is>
      </c>
      <c r="G19" s="4" t="inlineStr">
        <is>
          <t>High</t>
        </is>
      </c>
      <c r="H19" s="4" t="inlineStr">
        <is>
          <t>High</t>
        </is>
      </c>
      <c r="I19" s="4" t="inlineStr">
        <is>
          <t>Critical</t>
        </is>
      </c>
      <c r="J19" s="4" t="inlineStr">
        <is>
          <t>มี instance สถานะ New; login มี permission instance.transition</t>
        </is>
      </c>
      <c r="K19" s="4" t="inlineStr">
        <is>
          <t>POST /api/v1/instances/{id}/transition body { toStatus:'Closed' } จากสถานะ New</t>
        </is>
      </c>
      <c r="L19" s="4" t="inlineStr">
        <is>
          <t>{ "toStatus":"Closed", "rowVersion":"..." }</t>
        </is>
      </c>
      <c r="M19" s="4" t="inlineStr">
        <is>
          <t>inline</t>
        </is>
      </c>
      <c r="N19" s="4" t="inlineStr">
        <is>
          <t>422 WORKFLOW_INVALID_TRANSITION พร้อมเหตุผล</t>
        </is>
      </c>
      <c r="O19" s="4" t="inlineStr">
        <is>
          <t>EX-55</t>
        </is>
      </c>
      <c r="P19" s="4" t="inlineStr">
        <is>
          <t>.aidlc/specs/svm/design/api-spec.md:Vulnerability Instances</t>
        </is>
      </c>
      <c r="Q19" s="4" t="inlineStr">
        <is>
          <t>Doc</t>
        </is>
      </c>
      <c r="R19" s="21" t="inlineStr">
        <is>
          <t>Not Run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17" t="inlineStr"/>
      <c r="Z19" s="4" t="inlineStr">
        <is>
          <t>-</t>
        </is>
      </c>
      <c r="AA19" s="4" t="inlineStr">
        <is>
          <t>-</t>
        </is>
      </c>
    </row>
    <row r="20" ht="49" customHeight="1">
      <c r="A20" s="4" t="inlineStr">
        <is>
          <t>TC_019</t>
        </is>
      </c>
      <c r="B20" s="4" t="inlineStr">
        <is>
          <t>US-020</t>
        </is>
      </c>
      <c r="C20" s="4" t="inlineStr">
        <is>
          <t>Assignment &amp; Remediation</t>
        </is>
      </c>
      <c r="D20" s="4" t="inlineStr">
        <is>
          <t>API</t>
        </is>
      </c>
      <c r="E20" s="4" t="inlineStr">
        <is>
          <t>POST /instances/bulk-assign ข้ามรายการที่นอก scope</t>
        </is>
      </c>
      <c r="F20" s="4" t="inlineStr">
        <is>
          <t>Negative</t>
        </is>
      </c>
      <c r="G20" s="4" t="inlineStr">
        <is>
          <t>Medium</t>
        </is>
      </c>
      <c r="H20" s="4" t="inlineStr">
        <is>
          <t>Medium</t>
        </is>
      </c>
      <c r="I20" s="4" t="inlineStr">
        <is>
          <t>High</t>
        </is>
      </c>
      <c r="J20" s="4" t="inlineStr">
        <is>
          <t>login มี permission instance.assign</t>
        </is>
      </c>
      <c r="K20" s="4" t="inlineStr">
        <is>
          <t>POST /api/v1/instances/bulk-assign กับ instance ที่บางรายการอยู่นอก scope</t>
        </is>
      </c>
      <c r="L20" s="4" t="inlineStr">
        <is>
          <t>{ "instanceIds":[...], "assignToUserId":"..." }</t>
        </is>
      </c>
      <c r="M20" s="4" t="inlineStr">
        <is>
          <t>inline</t>
        </is>
      </c>
      <c r="N20" s="4" t="inlineStr">
        <is>
          <t>200 assigned[] + skipped[] ที่มี reason OUT_OF_SCOPE</t>
        </is>
      </c>
      <c r="O20" s="4" t="inlineStr">
        <is>
          <t>EX-61</t>
        </is>
      </c>
      <c r="P20" s="4" t="inlineStr">
        <is>
          <t>.aidlc/specs/svm/design/api-spec.md:Assignment &amp; Remediation</t>
        </is>
      </c>
      <c r="Q20" s="4" t="inlineStr">
        <is>
          <t>Doc</t>
        </is>
      </c>
      <c r="R20" s="21" t="inlineStr">
        <is>
          <t>Not Run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17" t="inlineStr"/>
      <c r="Z20" s="4" t="inlineStr">
        <is>
          <t>-</t>
        </is>
      </c>
      <c r="AA20" s="4" t="inlineStr">
        <is>
          <t>-</t>
        </is>
      </c>
    </row>
    <row r="21" ht="49" customHeight="1">
      <c r="A21" s="4" t="inlineStr">
        <is>
          <t>TC_020</t>
        </is>
      </c>
      <c r="B21" s="4" t="inlineStr">
        <is>
          <t>US-022</t>
        </is>
      </c>
      <c r="C21" s="4" t="inlineStr">
        <is>
          <t>Assignment &amp; Remediation</t>
        </is>
      </c>
      <c r="D21" s="4" t="inlineStr">
        <is>
          <t>API</t>
        </is>
      </c>
      <c r="E21" s="4" t="inlineStr">
        <is>
          <t>POST /instances/{id}/evidence ไฟล์ติด malware ถูกปฏิเสธ</t>
        </is>
      </c>
      <c r="F21" s="4" t="inlineStr">
        <is>
          <t>Negative</t>
        </is>
      </c>
      <c r="G21" s="4" t="inlineStr">
        <is>
          <t>High</t>
        </is>
      </c>
      <c r="H21" s="4" t="inlineStr">
        <is>
          <t>High</t>
        </is>
      </c>
      <c r="I21" s="4" t="inlineStr">
        <is>
          <t>High</t>
        </is>
      </c>
      <c r="J21" s="4" t="inlineStr">
        <is>
          <t>login มี permission evidence.upload; malware scanner mock</t>
        </is>
      </c>
      <c r="K21" s="4" t="inlineStr">
        <is>
          <t>POST /api/v1/instances/{id}/evidence อัปโหลดไฟล์ที่ mock ตรวจเป็น malware</t>
        </is>
      </c>
      <c r="L21" s="4" t="inlineStr">
        <is>
          <t>evidence_malware.bin</t>
        </is>
      </c>
      <c r="M21" s="4" t="inlineStr">
        <is>
          <t>fixture</t>
        </is>
      </c>
      <c r="N21" s="4" t="inlineStr">
        <is>
          <t>422 EVIDENCE_MALWARE ปฏิเสธและบันทึก</t>
        </is>
      </c>
      <c r="O21" s="4" t="inlineStr">
        <is>
          <t>EX-21</t>
        </is>
      </c>
      <c r="P21" s="4" t="inlineStr">
        <is>
          <t>.aidlc/specs/svm/design/api-spec.md:Assignment &amp; Remediation</t>
        </is>
      </c>
      <c r="Q21" s="4" t="inlineStr">
        <is>
          <t>Doc</t>
        </is>
      </c>
      <c r="R21" s="21" t="inlineStr">
        <is>
          <t>Not Run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17" t="inlineStr"/>
      <c r="Z21" s="4" t="inlineStr">
        <is>
          <t>-</t>
        </is>
      </c>
      <c r="AA21" s="4" t="inlineStr">
        <is>
          <t>-</t>
        </is>
      </c>
    </row>
    <row r="22" ht="49" customHeight="1">
      <c r="A22" s="4" t="inlineStr">
        <is>
          <t>TC_021</t>
        </is>
      </c>
      <c r="B22" s="4" t="inlineStr">
        <is>
          <t>US-024</t>
        </is>
      </c>
      <c r="C22" s="4" t="inlineStr">
        <is>
          <t>SLA</t>
        </is>
      </c>
      <c r="D22" s="4" t="inlineStr">
        <is>
          <t>Unit-Integration</t>
        </is>
      </c>
      <c r="E22" s="4" t="inlineStr">
        <is>
          <t>SLA calculation: due date จาก policy + business calendar + breach detection</t>
        </is>
      </c>
      <c r="F22" s="4" t="inlineStr">
        <is>
          <t>Positive</t>
        </is>
      </c>
      <c r="G22" s="4" t="inlineStr">
        <is>
          <t>High</t>
        </is>
      </c>
      <c r="H22" s="4" t="inlineStr">
        <is>
          <t>High</t>
        </is>
      </c>
      <c r="I22" s="4" t="inlineStr">
        <is>
          <t>Medium</t>
        </is>
      </c>
      <c r="J22" s="4" t="inlineStr">
        <is>
          <t>xUnit build ได้</t>
        </is>
      </c>
      <c r="K22" s="4" t="inlineStr">
        <is>
          <t>dotnet test --filter Sla</t>
        </is>
      </c>
      <c r="L22" s="4" t="inlineStr">
        <is>
          <t>policy + calendar + risk level</t>
        </is>
      </c>
      <c r="M22" s="4" t="inlineStr">
        <is>
          <t>fixture</t>
        </is>
      </c>
      <c r="N22" s="4" t="inlineStr">
        <is>
          <t>due-date ถูกต้องตาม policy/calendar, breach detection ถูก, recalc เก็บค่าเดิม</t>
        </is>
      </c>
      <c r="O22" s="4" t="inlineStr">
        <is>
          <t>FR-35</t>
        </is>
      </c>
      <c r="P22" s="4" t="inlineStr">
        <is>
          <t>.aidlc/specs/svm/tasks.md:7.4</t>
        </is>
      </c>
      <c r="Q22" s="4" t="inlineStr">
        <is>
          <t>Code</t>
        </is>
      </c>
      <c r="R22" s="21" t="inlineStr">
        <is>
          <t>Not Run</t>
        </is>
      </c>
      <c r="S22" s="4" t="inlineStr">
        <is>
          <t>-</t>
        </is>
      </c>
      <c r="T22" s="4" t="inlineStr">
        <is>
          <t>-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-</t>
        </is>
      </c>
      <c r="X22" s="4" t="inlineStr">
        <is>
          <t>-</t>
        </is>
      </c>
      <c r="Y22" s="17" t="inlineStr"/>
      <c r="Z22" s="4" t="inlineStr">
        <is>
          <t>-</t>
        </is>
      </c>
      <c r="AA22" s="4" t="inlineStr">
        <is>
          <t>-</t>
        </is>
      </c>
    </row>
    <row r="23" ht="49" customHeight="1">
      <c r="A23" s="4" t="inlineStr">
        <is>
          <t>TC_022</t>
        </is>
      </c>
      <c r="B23" s="4" t="inlineStr">
        <is>
          <t>US-025</t>
        </is>
      </c>
      <c r="C23" s="4" t="inlineStr">
        <is>
          <t>SLA</t>
        </is>
      </c>
      <c r="D23" s="4" t="inlineStr">
        <is>
          <t>API</t>
        </is>
      </c>
      <c r="E23" s="4" t="inlineStr">
        <is>
          <t>GET /instances/{id}/sla คืน timer + due dates + breach status</t>
        </is>
      </c>
      <c r="F23" s="4" t="inlineStr">
        <is>
          <t>Positive</t>
        </is>
      </c>
      <c r="G23" s="4" t="inlineStr">
        <is>
          <t>Medium</t>
        </is>
      </c>
      <c r="H23" s="4" t="inlineStr">
        <is>
          <t>Medium</t>
        </is>
      </c>
      <c r="I23" s="4" t="inlineStr">
        <is>
          <t>Medium</t>
        </is>
      </c>
      <c r="J23" s="4" t="inlineStr">
        <is>
          <t>มี instance ที่มี risk level; login มี permission instance.read</t>
        </is>
      </c>
      <c r="K23" s="4" t="inlineStr">
        <is>
          <t>GET /api/v1/instances/{id}/sla</t>
        </is>
      </c>
      <c r="L23" s="4" t="inlineStr">
        <is>
          <t>instance id</t>
        </is>
      </c>
      <c r="M23" s="4" t="inlineStr">
        <is>
          <t>fixture</t>
        </is>
      </c>
      <c r="N23" s="4" t="inlineStr">
        <is>
          <t>200; แสดง acknowledgement/remediation/resolution due + เวลาคงเหลือ + สถานะ breach</t>
        </is>
      </c>
      <c r="O23" s="4" t="inlineStr">
        <is>
          <t>FR-36</t>
        </is>
      </c>
      <c r="P23" s="4" t="inlineStr">
        <is>
          <t>.aidlc/specs/svm/design/api-spec.md:SLA</t>
        </is>
      </c>
      <c r="Q23" s="4" t="inlineStr">
        <is>
          <t>Doc</t>
        </is>
      </c>
      <c r="R23" s="21" t="inlineStr">
        <is>
          <t>Not Run</t>
        </is>
      </c>
      <c r="S23" s="4" t="inlineStr">
        <is>
          <t>-</t>
        </is>
      </c>
      <c r="T23" s="4" t="inlineStr">
        <is>
          <t>-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-</t>
        </is>
      </c>
      <c r="X23" s="4" t="inlineStr">
        <is>
          <t>-</t>
        </is>
      </c>
      <c r="Y23" s="17" t="inlineStr"/>
      <c r="Z23" s="4" t="inlineStr">
        <is>
          <t>-</t>
        </is>
      </c>
      <c r="AA23" s="4" t="inlineStr">
        <is>
          <t>-</t>
        </is>
      </c>
    </row>
    <row r="24" ht="49" customHeight="1">
      <c r="A24" s="4" t="inlineStr">
        <is>
          <t>TC_023</t>
        </is>
      </c>
      <c r="B24" s="4" t="inlineStr">
        <is>
          <t>US-028</t>
        </is>
      </c>
      <c r="C24" s="4" t="inlineStr">
        <is>
          <t>Verification &amp; Closure</t>
        </is>
      </c>
      <c r="D24" s="4" t="inlineStr">
        <is>
          <t>API</t>
        </is>
      </c>
      <c r="E24" s="4" t="inlineStr">
        <is>
          <t>Critical finding ปิดโดยไม่มี independent verifier ถูกปฏิเสธ</t>
        </is>
      </c>
      <c r="F24" s="4" t="inlineStr">
        <is>
          <t>Negative</t>
        </is>
      </c>
      <c r="G24" s="4" t="inlineStr">
        <is>
          <t>High</t>
        </is>
      </c>
      <c r="H24" s="4" t="inlineStr">
        <is>
          <t>High</t>
        </is>
      </c>
      <c r="I24" s="4" t="inlineStr">
        <is>
          <t>High</t>
        </is>
      </c>
      <c r="J24" s="4" t="inlineStr">
        <is>
          <t>instance Critical; ผู้ verify = ผู้แก้ไข</t>
        </is>
      </c>
      <c r="K24" s="4" t="inlineStr">
        <is>
          <t>POST /api/v1/instances/{id}/verification body { result:'Verified' } โดยผู้แก้ไขเอง</t>
        </is>
      </c>
      <c r="L24" s="4" t="inlineStr">
        <is>
          <t>{ "result":"Verified", "method":"Rescan" }</t>
        </is>
      </c>
      <c r="M24" s="4" t="inlineStr">
        <is>
          <t>inline</t>
        </is>
      </c>
      <c r="N24" s="4" t="inlineStr">
        <is>
          <t>422 INDEPENDENT_VERIFICATION_REQUIRED (BR-16)</t>
        </is>
      </c>
      <c r="O24" s="4" t="inlineStr">
        <is>
          <t>EX-80/BR-16</t>
        </is>
      </c>
      <c r="P24" s="4" t="inlineStr">
        <is>
          <t>.aidlc/specs/svm/design/api-spec.md:Verification &amp; Closure</t>
        </is>
      </c>
      <c r="Q24" s="4" t="inlineStr">
        <is>
          <t>Doc</t>
        </is>
      </c>
      <c r="R24" s="21" t="inlineStr">
        <is>
          <t>Not Run</t>
        </is>
      </c>
      <c r="S24" s="4" t="inlineStr">
        <is>
          <t>-</t>
        </is>
      </c>
      <c r="T24" s="4" t="inlineStr">
        <is>
          <t>-</t>
        </is>
      </c>
      <c r="U24" s="4" t="inlineStr">
        <is>
          <t>-</t>
        </is>
      </c>
      <c r="V24" s="4" t="inlineStr">
        <is>
          <t>-</t>
        </is>
      </c>
      <c r="W24" s="4" t="inlineStr">
        <is>
          <t>-</t>
        </is>
      </c>
      <c r="X24" s="4" t="inlineStr">
        <is>
          <t>-</t>
        </is>
      </c>
      <c r="Y24" s="17" t="inlineStr"/>
      <c r="Z24" s="4" t="inlineStr">
        <is>
          <t>-</t>
        </is>
      </c>
      <c r="AA24" s="4" t="inlineStr">
        <is>
          <t>-</t>
        </is>
      </c>
    </row>
    <row r="25" ht="64" customHeight="1">
      <c r="A25" s="4" t="inlineStr">
        <is>
          <t>TC_024</t>
        </is>
      </c>
      <c r="B25" s="4" t="inlineStr">
        <is>
          <t>US-030</t>
        </is>
      </c>
      <c r="C25" s="4" t="inlineStr">
        <is>
          <t>Dashboard</t>
        </is>
      </c>
      <c r="D25" s="4" t="inlineStr">
        <is>
          <t>UI</t>
        </is>
      </c>
      <c r="E25" s="4" t="inlineStr">
        <is>
          <t>เปิด dashboard แสดง Operations + Executive KPI</t>
        </is>
      </c>
      <c r="F25" s="4" t="inlineStr">
        <is>
          <t>Positive</t>
        </is>
      </c>
      <c r="G25" s="4" t="inlineStr">
        <is>
          <t>Medium</t>
        </is>
      </c>
      <c r="H25" s="4" t="inlineStr">
        <is>
          <t>Medium</t>
        </is>
      </c>
      <c r="I25" s="4" t="inlineStr">
        <is>
          <t>Medium</t>
        </is>
      </c>
      <c r="J25" s="4" t="inlineStr">
        <is>
          <t>login เป็น admin</t>
        </is>
      </c>
      <c r="K25" s="4" t="inlineStr">
        <is>
          <t>1. ไปหน้า /dashboard
2. ตรวจ KPI card + risk distribution + overdue + KEV</t>
        </is>
      </c>
      <c r="L25" s="4" t="inlineStr">
        <is>
          <t>seed data</t>
        </is>
      </c>
      <c r="M25" s="4" t="inlineStr">
        <is>
          <t>fixture</t>
        </is>
      </c>
      <c r="N25" s="4" t="inlineStr">
        <is>
          <t>แสดง operations (unassigned/overdue/pending-verify) + executive (risk distribution, SLA compliance, KEV); สถานะมีสี+ไอคอน+label</t>
        </is>
      </c>
      <c r="O25" s="4" t="inlineStr">
        <is>
          <t>FR-56/57/NFR-34</t>
        </is>
      </c>
      <c r="P25" s="4" t="inlineStr">
        <is>
          <t>.aidlc/specs/svm/requirements.md:US-030</t>
        </is>
      </c>
      <c r="Q25" s="4" t="inlineStr">
        <is>
          <t>Doc</t>
        </is>
      </c>
      <c r="R25" s="21" t="inlineStr">
        <is>
          <t>Not Run</t>
        </is>
      </c>
      <c r="S25" s="4" t="inlineStr">
        <is>
          <t>-</t>
        </is>
      </c>
      <c r="T25" s="4" t="inlineStr">
        <is>
          <t>-</t>
        </is>
      </c>
      <c r="U25" s="4" t="inlineStr">
        <is>
          <t>-</t>
        </is>
      </c>
      <c r="V25" s="4" t="inlineStr">
        <is>
          <t>-</t>
        </is>
      </c>
      <c r="W25" s="4" t="inlineStr">
        <is>
          <t>-</t>
        </is>
      </c>
      <c r="X25" s="4" t="inlineStr">
        <is>
          <t>-</t>
        </is>
      </c>
      <c r="Y25" s="17" t="inlineStr"/>
      <c r="Z25" s="4" t="inlineStr">
        <is>
          <t>-</t>
        </is>
      </c>
      <c r="AA25" s="4" t="inlineStr">
        <is>
          <t>-</t>
        </is>
      </c>
    </row>
    <row r="26" ht="64" customHeight="1">
      <c r="A26" s="4" t="inlineStr">
        <is>
          <t>TC_025</t>
        </is>
      </c>
      <c r="B26" s="4" t="inlineStr">
        <is>
          <t>US-031</t>
        </is>
      </c>
      <c r="C26" s="4" t="inlineStr">
        <is>
          <t>Administration</t>
        </is>
      </c>
      <c r="D26" s="4" t="inlineStr">
        <is>
          <t>UI</t>
        </is>
      </c>
      <c r="E26" s="4" t="inlineStr">
        <is>
          <t>admin แก้ไข SLA policy / risk weight ผ่านหน้า admin สำเร็จ</t>
        </is>
      </c>
      <c r="F26" s="4" t="inlineStr">
        <is>
          <t>Positive</t>
        </is>
      </c>
      <c r="G26" s="4" t="inlineStr">
        <is>
          <t>Medium</t>
        </is>
      </c>
      <c r="H26" s="4" t="inlineStr">
        <is>
          <t>Medium</t>
        </is>
      </c>
      <c r="I26" s="4" t="inlineStr">
        <is>
          <t>Medium</t>
        </is>
      </c>
      <c r="J26" s="4" t="inlineStr">
        <is>
          <t>login เป็น admin</t>
        </is>
      </c>
      <c r="K26" s="4" t="inlineStr">
        <is>
          <t>1. ไปหน้า /admin
2. แก้ค่า SLA policy หรือ risk weight ที่ถูกต้อง
3. บันทึก</t>
        </is>
      </c>
      <c r="L26" s="4" t="inlineStr">
        <is>
          <t>risk weight ที่รวม = 100</t>
        </is>
      </c>
      <c r="M26" s="4" t="inlineStr">
        <is>
          <t>inline</t>
        </is>
      </c>
      <c r="N26" s="4" t="inlineStr">
        <is>
          <t>บันทึกสำเร็จ ระบบใช้ค่าใหม่ และมี audit log</t>
        </is>
      </c>
      <c r="O26" s="4" t="inlineStr">
        <is>
          <t>FR-64/65/66/BR-40</t>
        </is>
      </c>
      <c r="P26" s="4" t="inlineStr">
        <is>
          <t>.aidlc/specs/svm/requirements.md:US-031</t>
        </is>
      </c>
      <c r="Q26" s="4" t="inlineStr">
        <is>
          <t>Doc</t>
        </is>
      </c>
      <c r="R26" s="21" t="inlineStr">
        <is>
          <t>Not Run</t>
        </is>
      </c>
      <c r="S26" s="4" t="inlineStr">
        <is>
          <t>-</t>
        </is>
      </c>
      <c r="T26" s="4" t="inlineStr">
        <is>
          <t>-</t>
        </is>
      </c>
      <c r="U26" s="4" t="inlineStr">
        <is>
          <t>-</t>
        </is>
      </c>
      <c r="V26" s="4" t="inlineStr">
        <is>
          <t>-</t>
        </is>
      </c>
      <c r="W26" s="4" t="inlineStr">
        <is>
          <t>-</t>
        </is>
      </c>
      <c r="X26" s="4" t="inlineStr">
        <is>
          <t>-</t>
        </is>
      </c>
      <c r="Y26" s="17" t="inlineStr"/>
      <c r="Z26" s="4" t="inlineStr">
        <is>
          <t>-</t>
        </is>
      </c>
      <c r="AA26" s="4" t="inlineStr">
        <is>
          <t>-</t>
        </is>
      </c>
    </row>
    <row r="27" ht="49" customHeight="1">
      <c r="A27" s="4" t="inlineStr">
        <is>
          <t>TC_026</t>
        </is>
      </c>
      <c r="B27" s="4" t="inlineStr">
        <is>
          <t>US-032</t>
        </is>
      </c>
      <c r="C27" s="4" t="inlineStr">
        <is>
          <t>Audit Trail</t>
        </is>
      </c>
      <c r="D27" s="4" t="inlineStr">
        <is>
          <t>API</t>
        </is>
      </c>
      <c r="E27" s="4" t="inlineStr">
        <is>
          <t>GET /audit โดย auditor คืนรายการ audit (scoped)</t>
        </is>
      </c>
      <c r="F27" s="4" t="inlineStr">
        <is>
          <t>Positive</t>
        </is>
      </c>
      <c r="G27" s="4" t="inlineStr">
        <is>
          <t>High</t>
        </is>
      </c>
      <c r="H27" s="4" t="inlineStr">
        <is>
          <t>High</t>
        </is>
      </c>
      <c r="I27" s="4" t="inlineStr">
        <is>
          <t>Critical</t>
        </is>
      </c>
      <c r="J27" s="4" t="inlineStr">
        <is>
          <t>login เป็น user ที่มี permission audit.read</t>
        </is>
      </c>
      <c r="K27" s="4" t="inlineStr">
        <is>
          <t>GET /api/v1/audit?object=...&amp;action=...</t>
        </is>
      </c>
      <c r="L27" s="4" t="inlineStr">
        <is>
          <t>auditor token</t>
        </is>
      </c>
      <c r="M27" s="4" t="inlineStr">
        <is>
          <t>fixture</t>
        </is>
      </c>
      <c r="N27" s="4" t="inlineStr">
        <is>
          <t>200; รายการ audit มี user/time/action/object/before/after/result; การ export ถูกบันทึกเพิ่ม</t>
        </is>
      </c>
      <c r="O27" s="4" t="inlineStr">
        <is>
          <t>FR-68/NFR-20</t>
        </is>
      </c>
      <c r="P27" s="4" t="inlineStr">
        <is>
          <t>.aidlc/specs/svm/requirements.md:US-032</t>
        </is>
      </c>
      <c r="Q27" s="4" t="inlineStr">
        <is>
          <t>Doc</t>
        </is>
      </c>
      <c r="R27" s="21" t="inlineStr">
        <is>
          <t>Not Run</t>
        </is>
      </c>
      <c r="S27" s="4" t="inlineStr">
        <is>
          <t>-</t>
        </is>
      </c>
      <c r="T27" s="4" t="inlineStr">
        <is>
          <t>-</t>
        </is>
      </c>
      <c r="U27" s="4" t="inlineStr">
        <is>
          <t>-</t>
        </is>
      </c>
      <c r="V27" s="4" t="inlineStr">
        <is>
          <t>-</t>
        </is>
      </c>
      <c r="W27" s="4" t="inlineStr">
        <is>
          <t>-</t>
        </is>
      </c>
      <c r="X27" s="4" t="inlineStr">
        <is>
          <t>-</t>
        </is>
      </c>
      <c r="Y27" s="17" t="inlineStr"/>
      <c r="Z27" s="4" t="inlineStr">
        <is>
          <t>-</t>
        </is>
      </c>
      <c r="AA27" s="4" t="inlineStr">
        <is>
          <t>-</t>
        </is>
      </c>
    </row>
    <row r="28" ht="34" customHeight="1">
      <c r="A28" s="4" t="inlineStr">
        <is>
          <t>TC_027</t>
        </is>
      </c>
      <c r="B28" s="4" t="inlineStr">
        <is>
          <t>US-032</t>
        </is>
      </c>
      <c r="C28" s="4" t="inlineStr">
        <is>
          <t>Audit Trail</t>
        </is>
      </c>
      <c r="D28" s="4" t="inlineStr">
        <is>
          <t>API</t>
        </is>
      </c>
      <c r="E28" s="4" t="inlineStr">
        <is>
          <t>ผู้ไม่มีสิทธิ์เรียก GET /audit คืน 403</t>
        </is>
      </c>
      <c r="F28" s="4" t="inlineStr">
        <is>
          <t>Negative</t>
        </is>
      </c>
      <c r="G28" s="4" t="inlineStr">
        <is>
          <t>High</t>
        </is>
      </c>
      <c r="H28" s="4" t="inlineStr">
        <is>
          <t>High</t>
        </is>
      </c>
      <c r="I28" s="4" t="inlineStr">
        <is>
          <t>Critical</t>
        </is>
      </c>
      <c r="J28" s="4" t="inlineStr">
        <is>
          <t>login เป็น user ที่ไม่มี permission audit.read</t>
        </is>
      </c>
      <c r="K28" s="4" t="inlineStr">
        <is>
          <t>GET /api/v1/audit ด้วย token ที่ไม่มีสิทธิ์</t>
        </is>
      </c>
      <c r="L28" s="4" t="inlineStr">
        <is>
          <t>officer1 token</t>
        </is>
      </c>
      <c r="M28" s="4" t="inlineStr">
        <is>
          <t>fixture</t>
        </is>
      </c>
      <c r="N28" s="4" t="inlineStr">
        <is>
          <t>403 Forbidden (ProblemDetails)</t>
        </is>
      </c>
      <c r="O28" s="4" t="inlineStr">
        <is>
          <t>NFR-21</t>
        </is>
      </c>
      <c r="P28" s="4" t="inlineStr">
        <is>
          <t>.aidlc/specs/svm/requirements.md:US-032</t>
        </is>
      </c>
      <c r="Q28" s="4" t="inlineStr">
        <is>
          <t>Doc</t>
        </is>
      </c>
      <c r="R28" s="21" t="inlineStr">
        <is>
          <t>Not Run</t>
        </is>
      </c>
      <c r="S28" s="4" t="inlineStr">
        <is>
          <t>-</t>
        </is>
      </c>
      <c r="T28" s="4" t="inlineStr">
        <is>
          <t>-</t>
        </is>
      </c>
      <c r="U28" s="4" t="inlineStr">
        <is>
          <t>-</t>
        </is>
      </c>
      <c r="V28" s="4" t="inlineStr">
        <is>
          <t>-</t>
        </is>
      </c>
      <c r="W28" s="4" t="inlineStr">
        <is>
          <t>-</t>
        </is>
      </c>
      <c r="X28" s="4" t="inlineStr">
        <is>
          <t>-</t>
        </is>
      </c>
      <c r="Y28" s="17" t="inlineStr"/>
      <c r="Z28" s="4" t="inlineStr">
        <is>
          <t>-</t>
        </is>
      </c>
      <c r="AA28" s="4" t="inlineStr">
        <is>
          <t>-</t>
        </is>
      </c>
    </row>
    <row r="29" ht="34" customHeight="1">
      <c r="A29" s="4" t="inlineStr">
        <is>
          <t>TC_028</t>
        </is>
      </c>
      <c r="B29" s="4" t="inlineStr">
        <is>
          <t>US-001</t>
        </is>
      </c>
      <c r="C29" s="4" t="inlineStr">
        <is>
          <t>Authentication</t>
        </is>
      </c>
      <c r="D29" s="4" t="inlineStr">
        <is>
          <t>UI</t>
        </is>
      </c>
      <c r="E29" s="4" t="inlineStr">
        <is>
          <t>ออกจากระบบแล้วกด back ไม่เปิดหน้าที่ป้องกัน</t>
        </is>
      </c>
      <c r="F29" s="4" t="inlineStr">
        <is>
          <t>Negative</t>
        </is>
      </c>
      <c r="G29" s="4" t="inlineStr">
        <is>
          <t>Medium</t>
        </is>
      </c>
      <c r="H29" s="4" t="inlineStr">
        <is>
          <t>Medium</t>
        </is>
      </c>
      <c r="I29" s="4" t="inlineStr">
        <is>
          <t>High</t>
        </is>
      </c>
      <c r="J29" s="4" t="inlineStr">
        <is>
          <t>login สำเร็จแล้ว</t>
        </is>
      </c>
      <c r="K29" s="4" t="inlineStr">
        <is>
          <t>1. กดออกจากระบบ
2. กด browser back ไปหน้า protected</t>
        </is>
      </c>
      <c r="L29" s="4" t="inlineStr">
        <is>
          <t>-</t>
        </is>
      </c>
      <c r="M29" s="4" t="inlineStr">
        <is>
          <t>inline</t>
        </is>
      </c>
      <c r="N29" s="4" t="inlineStr">
        <is>
          <t>กลับไป /login ไม่แสดง UI ที่ป้องกัน; reload ก็ไม่เปิด</t>
        </is>
      </c>
      <c r="O29" s="4" t="inlineStr">
        <is>
          <t>-</t>
        </is>
      </c>
      <c r="P29" s="4" t="inlineStr">
        <is>
          <t>docs/ui/authentication.md:Frontend acceptance #12</t>
        </is>
      </c>
      <c r="Q29" s="4" t="inlineStr">
        <is>
          <t>Doc</t>
        </is>
      </c>
      <c r="R29" s="21" t="inlineStr">
        <is>
          <t>Not Run</t>
        </is>
      </c>
      <c r="S29" s="4" t="inlineStr">
        <is>
          <t>-</t>
        </is>
      </c>
      <c r="T29" s="4" t="inlineStr">
        <is>
          <t>-</t>
        </is>
      </c>
      <c r="U29" s="4" t="inlineStr">
        <is>
          <t>-</t>
        </is>
      </c>
      <c r="V29" s="4" t="inlineStr">
        <is>
          <t>-</t>
        </is>
      </c>
      <c r="W29" s="4" t="inlineStr">
        <is>
          <t>-</t>
        </is>
      </c>
      <c r="X29" s="4" t="inlineStr">
        <is>
          <t>-</t>
        </is>
      </c>
      <c r="Y29" s="17" t="inlineStr"/>
      <c r="Z29" s="4" t="inlineStr">
        <is>
          <t>-</t>
        </is>
      </c>
      <c r="AA29" s="4" t="inlineStr">
        <is>
          <t>-</t>
        </is>
      </c>
    </row>
  </sheetData>
  <autoFilter ref="A1:AA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E44AD"/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 ht="24" customHeight="1">
      <c r="A1" s="2" t="inlineStr">
        <is>
          <t>User Story ID</t>
        </is>
      </c>
      <c r="B1" s="2" t="inlineStr">
        <is>
          <t>Covered TC IDs</t>
        </is>
      </c>
      <c r="C1" s="2" t="inlineStr">
        <is>
          <t>#TC</t>
        </is>
      </c>
      <c r="D1" s="2" t="inlineStr">
        <is>
          <t>#Pass</t>
        </is>
      </c>
      <c r="E1" s="2" t="inlineStr">
        <is>
          <t>#Fail</t>
        </is>
      </c>
      <c r="F1" s="2" t="inlineStr">
        <is>
          <t>Coverage</t>
        </is>
      </c>
    </row>
    <row r="2" ht="34" customHeight="1">
      <c r="A2" s="4" t="inlineStr">
        <is>
          <t>US-001</t>
        </is>
      </c>
      <c r="B2" s="4" t="inlineStr">
        <is>
          <t>TC_001, TC_002, TC_003, TC_004, TC_005, TC_006, TC_028</t>
        </is>
      </c>
      <c r="C2" s="4" t="n">
        <v>7</v>
      </c>
      <c r="D2" s="4" t="n">
        <v>0</v>
      </c>
      <c r="E2" s="4" t="n">
        <v>0</v>
      </c>
      <c r="F2" s="4" t="inlineStr">
        <is>
          <t>✓</t>
        </is>
      </c>
    </row>
    <row r="3" ht="19" customHeight="1">
      <c r="A3" s="4" t="inlineStr">
        <is>
          <t>US-002</t>
        </is>
      </c>
      <c r="B3" s="4" t="inlineStr">
        <is>
          <t>TC_007, TC_008</t>
        </is>
      </c>
      <c r="C3" s="4" t="n">
        <v>2</v>
      </c>
      <c r="D3" s="4" t="n">
        <v>0</v>
      </c>
      <c r="E3" s="4" t="n">
        <v>0</v>
      </c>
      <c r="F3" s="4" t="inlineStr">
        <is>
          <t>✓</t>
        </is>
      </c>
    </row>
    <row r="4" ht="19" customHeight="1">
      <c r="A4" s="4" t="inlineStr">
        <is>
          <t>US-003</t>
        </is>
      </c>
      <c r="B4" s="4" t="inlineStr">
        <is>
          <t>TC_009</t>
        </is>
      </c>
      <c r="C4" s="4" t="n">
        <v>1</v>
      </c>
      <c r="D4" s="4" t="n">
        <v>0</v>
      </c>
      <c r="E4" s="4" t="n">
        <v>0</v>
      </c>
      <c r="F4" s="4" t="inlineStr">
        <is>
          <t>✓</t>
        </is>
      </c>
    </row>
    <row r="5" ht="19" customHeight="1">
      <c r="A5" s="4" t="inlineStr">
        <is>
          <t>US-004</t>
        </is>
      </c>
      <c r="B5" s="4" t="inlineStr">
        <is>
          <t>TC_010</t>
        </is>
      </c>
      <c r="C5" s="4" t="n">
        <v>1</v>
      </c>
      <c r="D5" s="4" t="n">
        <v>0</v>
      </c>
      <c r="E5" s="4" t="n">
        <v>0</v>
      </c>
      <c r="F5" s="4" t="inlineStr">
        <is>
          <t>✓</t>
        </is>
      </c>
    </row>
    <row r="6" ht="19" customHeight="1">
      <c r="A6" s="4" t="inlineStr">
        <is>
          <t>US-007</t>
        </is>
      </c>
      <c r="B6" s="4" t="inlineStr">
        <is>
          <t>TC_011, TC_012</t>
        </is>
      </c>
      <c r="C6" s="4" t="n">
        <v>2</v>
      </c>
      <c r="D6" s="4" t="n">
        <v>0</v>
      </c>
      <c r="E6" s="4" t="n">
        <v>0</v>
      </c>
      <c r="F6" s="4" t="inlineStr">
        <is>
          <t>✓</t>
        </is>
      </c>
    </row>
    <row r="7" ht="19" customHeight="1">
      <c r="A7" s="4" t="inlineStr">
        <is>
          <t>US-008</t>
        </is>
      </c>
      <c r="B7" s="4" t="inlineStr">
        <is>
          <t>TC_013</t>
        </is>
      </c>
      <c r="C7" s="4" t="n">
        <v>1</v>
      </c>
      <c r="D7" s="4" t="n">
        <v>0</v>
      </c>
      <c r="E7" s="4" t="n">
        <v>0</v>
      </c>
      <c r="F7" s="4" t="inlineStr">
        <is>
          <t>✓</t>
        </is>
      </c>
    </row>
    <row r="8" ht="19" customHeight="1">
      <c r="A8" s="4" t="inlineStr">
        <is>
          <t>US-012</t>
        </is>
      </c>
      <c r="B8" s="4" t="inlineStr">
        <is>
          <t>TC_014</t>
        </is>
      </c>
      <c r="C8" s="4" t="n">
        <v>1</v>
      </c>
      <c r="D8" s="4" t="n">
        <v>0</v>
      </c>
      <c r="E8" s="4" t="n">
        <v>0</v>
      </c>
      <c r="F8" s="4" t="inlineStr">
        <is>
          <t>✓</t>
        </is>
      </c>
    </row>
    <row r="9" ht="19" customHeight="1">
      <c r="A9" s="4" t="inlineStr">
        <is>
          <t>US-015</t>
        </is>
      </c>
      <c r="B9" s="4" t="inlineStr">
        <is>
          <t>TC_015, TC_016</t>
        </is>
      </c>
      <c r="C9" s="4" t="n">
        <v>2</v>
      </c>
      <c r="D9" s="4" t="n">
        <v>0</v>
      </c>
      <c r="E9" s="4" t="n">
        <v>0</v>
      </c>
      <c r="F9" s="4" t="inlineStr">
        <is>
          <t>✓</t>
        </is>
      </c>
    </row>
    <row r="10" ht="19" customHeight="1">
      <c r="A10" s="4" t="inlineStr">
        <is>
          <t>US-019</t>
        </is>
      </c>
      <c r="B10" s="4" t="inlineStr">
        <is>
          <t>TC_017, TC_018</t>
        </is>
      </c>
      <c r="C10" s="4" t="n">
        <v>2</v>
      </c>
      <c r="D10" s="4" t="n">
        <v>0</v>
      </c>
      <c r="E10" s="4" t="n">
        <v>0</v>
      </c>
      <c r="F10" s="4" t="inlineStr">
        <is>
          <t>✓</t>
        </is>
      </c>
    </row>
    <row r="11" ht="19" customHeight="1">
      <c r="A11" s="4" t="inlineStr">
        <is>
          <t>US-020</t>
        </is>
      </c>
      <c r="B11" s="4" t="inlineStr">
        <is>
          <t>TC_019</t>
        </is>
      </c>
      <c r="C11" s="4" t="n">
        <v>1</v>
      </c>
      <c r="D11" s="4" t="n">
        <v>0</v>
      </c>
      <c r="E11" s="4" t="n">
        <v>0</v>
      </c>
      <c r="F11" s="4" t="inlineStr">
        <is>
          <t>✓</t>
        </is>
      </c>
    </row>
    <row r="12" ht="19" customHeight="1">
      <c r="A12" s="4" t="inlineStr">
        <is>
          <t>US-022</t>
        </is>
      </c>
      <c r="B12" s="4" t="inlineStr">
        <is>
          <t>TC_020</t>
        </is>
      </c>
      <c r="C12" s="4" t="n">
        <v>1</v>
      </c>
      <c r="D12" s="4" t="n">
        <v>0</v>
      </c>
      <c r="E12" s="4" t="n">
        <v>0</v>
      </c>
      <c r="F12" s="4" t="inlineStr">
        <is>
          <t>✓</t>
        </is>
      </c>
    </row>
    <row r="13" ht="19" customHeight="1">
      <c r="A13" s="4" t="inlineStr">
        <is>
          <t>US-024</t>
        </is>
      </c>
      <c r="B13" s="4" t="inlineStr">
        <is>
          <t>TC_021</t>
        </is>
      </c>
      <c r="C13" s="4" t="n">
        <v>1</v>
      </c>
      <c r="D13" s="4" t="n">
        <v>0</v>
      </c>
      <c r="E13" s="4" t="n">
        <v>0</v>
      </c>
      <c r="F13" s="4" t="inlineStr">
        <is>
          <t>✓</t>
        </is>
      </c>
    </row>
    <row r="14" ht="19" customHeight="1">
      <c r="A14" s="4" t="inlineStr">
        <is>
          <t>US-025</t>
        </is>
      </c>
      <c r="B14" s="4" t="inlineStr">
        <is>
          <t>TC_022</t>
        </is>
      </c>
      <c r="C14" s="4" t="n">
        <v>1</v>
      </c>
      <c r="D14" s="4" t="n">
        <v>0</v>
      </c>
      <c r="E14" s="4" t="n">
        <v>0</v>
      </c>
      <c r="F14" s="4" t="inlineStr">
        <is>
          <t>✓</t>
        </is>
      </c>
    </row>
    <row r="15" ht="19" customHeight="1">
      <c r="A15" s="4" t="inlineStr">
        <is>
          <t>US-028</t>
        </is>
      </c>
      <c r="B15" s="4" t="inlineStr">
        <is>
          <t>TC_023</t>
        </is>
      </c>
      <c r="C15" s="4" t="n">
        <v>1</v>
      </c>
      <c r="D15" s="4" t="n">
        <v>0</v>
      </c>
      <c r="E15" s="4" t="n">
        <v>0</v>
      </c>
      <c r="F15" s="4" t="inlineStr">
        <is>
          <t>✓</t>
        </is>
      </c>
    </row>
    <row r="16" ht="19" customHeight="1">
      <c r="A16" s="4" t="inlineStr">
        <is>
          <t>US-030</t>
        </is>
      </c>
      <c r="B16" s="4" t="inlineStr">
        <is>
          <t>TC_024</t>
        </is>
      </c>
      <c r="C16" s="4" t="n">
        <v>1</v>
      </c>
      <c r="D16" s="4" t="n">
        <v>0</v>
      </c>
      <c r="E16" s="4" t="n">
        <v>0</v>
      </c>
      <c r="F16" s="4" t="inlineStr">
        <is>
          <t>✓</t>
        </is>
      </c>
    </row>
    <row r="17" ht="19" customHeight="1">
      <c r="A17" s="4" t="inlineStr">
        <is>
          <t>US-031</t>
        </is>
      </c>
      <c r="B17" s="4" t="inlineStr">
        <is>
          <t>TC_025</t>
        </is>
      </c>
      <c r="C17" s="4" t="n">
        <v>1</v>
      </c>
      <c r="D17" s="4" t="n">
        <v>0</v>
      </c>
      <c r="E17" s="4" t="n">
        <v>0</v>
      </c>
      <c r="F17" s="4" t="inlineStr">
        <is>
          <t>✓</t>
        </is>
      </c>
    </row>
    <row r="18" ht="19" customHeight="1">
      <c r="A18" s="4" t="inlineStr">
        <is>
          <t>US-032</t>
        </is>
      </c>
      <c r="B18" s="4" t="inlineStr">
        <is>
          <t>TC_026, TC_027</t>
        </is>
      </c>
      <c r="C18" s="4" t="n">
        <v>2</v>
      </c>
      <c r="D18" s="4" t="n">
        <v>0</v>
      </c>
      <c r="E18" s="4" t="n">
        <v>0</v>
      </c>
      <c r="F18" s="4" t="inlineStr">
        <is>
          <t>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2" customWidth="1" min="4" max="4"/>
    <col width="11" customWidth="1" min="5" max="5"/>
    <col width="10" customWidth="1" min="6" max="6"/>
    <col width="12" customWidth="1" min="7" max="7"/>
    <col width="14" customWidth="1" min="8" max="8"/>
    <col width="30" customWidth="1" min="9" max="9"/>
    <col width="24" customWidth="1" min="10" max="10"/>
    <col width="20" customWidth="1" min="11" max="11"/>
    <col width="16" customWidth="1" min="12" max="12"/>
  </cols>
  <sheetData>
    <row r="1" ht="24" customHeight="1">
      <c r="A1" s="2" t="inlineStr">
        <is>
          <t>Defect ID</t>
        </is>
      </c>
      <c r="B1" s="2" t="inlineStr">
        <is>
          <t>Linked TC ID</t>
        </is>
      </c>
      <c r="C1" s="2" t="inlineStr">
        <is>
          <t>Title</t>
        </is>
      </c>
      <c r="D1" s="2" t="inlineStr">
        <is>
          <t>Steps to Reproduce</t>
        </is>
      </c>
      <c r="E1" s="2" t="inlineStr">
        <is>
          <t>Severity</t>
        </is>
      </c>
      <c r="F1" s="2" t="inlineStr">
        <is>
          <t>Priority</t>
        </is>
      </c>
      <c r="G1" s="2" t="inlineStr">
        <is>
          <t>Status</t>
        </is>
      </c>
      <c r="H1" s="2" t="inlineStr">
        <is>
          <t>Assigned To</t>
        </is>
      </c>
      <c r="I1" s="2" t="inlineStr">
        <is>
          <t>Suggested Root Cause</t>
        </is>
      </c>
      <c r="J1" s="2" t="inlineStr">
        <is>
          <t>Resolution</t>
        </is>
      </c>
      <c r="K1" s="2" t="inlineStr">
        <is>
          <t>Found Date</t>
        </is>
      </c>
      <c r="L1" s="2" t="inlineStr">
        <is>
          <t>Fixed Date</t>
        </is>
      </c>
    </row>
    <row r="2">
      <c r="A2" s="17" t="inlineStr">
        <is>
          <t>— no defects —</t>
        </is>
      </c>
      <c r="B2" s="17" t="inlineStr"/>
      <c r="C2" s="17" t="inlineStr"/>
      <c r="D2" s="17" t="inlineStr"/>
      <c r="E2" s="17" t="inlineStr"/>
      <c r="F2" s="17" t="inlineStr"/>
      <c r="G2" s="17" t="inlineStr"/>
      <c r="H2" s="17" t="inlineStr"/>
      <c r="I2" s="17" t="inlineStr"/>
      <c r="J2" s="17" t="inlineStr"/>
      <c r="K2" s="17" t="inlineStr"/>
      <c r="L2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2026-10-20T23:42:41Z</dcterms:created>
  <dcterms:modified xmlns:dcterms="http://purl.org/dc/terms/" xmlns:xsi="http://www.w3.org/2001/XMLSchema-instance" xsi:type="dcterms:W3CDTF">2026-10-20T23:42:42Z</dcterms:modified>
</cp:coreProperties>
</file>